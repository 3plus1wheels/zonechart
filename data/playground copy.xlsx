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8" autoFilterDateGrouping="1"/>
  </bookViews>
  <sheets>
    <sheet xmlns:r="http://schemas.openxmlformats.org/officeDocument/2006/relationships" name="Management - Checklist" sheetId="1" state="visible" r:id="rId1"/>
    <sheet xmlns:r="http://schemas.openxmlformats.org/officeDocument/2006/relationships" name="Stylist - Checklist" sheetId="2" state="visible" r:id="rId2"/>
    <sheet xmlns:r="http://schemas.openxmlformats.org/officeDocument/2006/relationships" name="EOD Closing Email Template" sheetId="3" state="visible" r:id="rId3"/>
    <sheet xmlns:r="http://schemas.openxmlformats.org/officeDocument/2006/relationships" name="Monday" sheetId="4" state="visible" r:id="rId4"/>
    <sheet xmlns:r="http://schemas.openxmlformats.org/officeDocument/2006/relationships" name="Tuesday" sheetId="5" state="visible" r:id="rId5"/>
    <sheet xmlns:r="http://schemas.openxmlformats.org/officeDocument/2006/relationships" name="Test" sheetId="6" state="visible" r:id="rId6"/>
    <sheet xmlns:r="http://schemas.openxmlformats.org/officeDocument/2006/relationships" name="Wednesday" sheetId="7" state="visible" r:id="rId7"/>
    <sheet xmlns:r="http://schemas.openxmlformats.org/officeDocument/2006/relationships" name="Thursday" sheetId="8" state="visible" r:id="rId8"/>
    <sheet xmlns:r="http://schemas.openxmlformats.org/officeDocument/2006/relationships" name="Friday" sheetId="9" state="visible" r:id="rId9"/>
    <sheet xmlns:r="http://schemas.openxmlformats.org/officeDocument/2006/relationships" name="Saturday" sheetId="10" state="visible" r:id="rId10"/>
    <sheet xmlns:r="http://schemas.openxmlformats.org/officeDocument/2006/relationships" name="Sunday" sheetId="11" state="visible" r:id="rId11"/>
  </sheets>
  <definedNames>
    <definedName name="Categories">[1]!Category[Category]</definedName>
    <definedName name="ColumnTitle1">[1]!List[[#Headers],[ITEM]]</definedName>
    <definedName name="ColumnTitle2">[1]!Category[[#Headers],[Category]]</definedName>
    <definedName name="INITIALS">'[2]Employee Productivity'!#REF!</definedName>
    <definedName name="MANAGERS">'[2]Employee Productivity'!#REF!</definedName>
    <definedName name="SELLINGZONES">#REF!</definedName>
    <definedName name="Store_List">#REF!</definedName>
    <definedName name="stylists">'[2]Employee Productivity'!#REF!</definedName>
    <definedName name="_xlnm.Print_Area" localSheetId="0">'Management - Checklist'!$A$1:$H$73</definedName>
    <definedName name="_xlnm.Print_Area" localSheetId="1">'Stylist - Checklist'!$A$1:$H$27</definedName>
    <definedName name="SELLINGZONES" localSheetId="3">Monday!$L$54:$S$54</definedName>
    <definedName name="zones" localSheetId="3">Monday!$I$54:$V$54</definedName>
    <definedName name="_xlnm.Print_Area" localSheetId="3">'Monday'!$A$1:$Y$55</definedName>
    <definedName name="INITIALS" localSheetId="4">'[2]Employee Productivity'!#REF!</definedName>
    <definedName name="MANAGERS" localSheetId="4">'[2]Employee Productivity'!#REF!</definedName>
    <definedName name="SELLINGZONES" localSheetId="4">Tuesday!$L$46:$S$46</definedName>
    <definedName name="stylists" localSheetId="4">'[2]Employee Productivity'!#REF!</definedName>
    <definedName name="zones" localSheetId="4">Tuesday!$I$46:$V$46</definedName>
    <definedName name="_xlnm.Print_Area" localSheetId="4">'Tuesday'!$A$1:$Y$45</definedName>
    <definedName name="INITIALS" localSheetId="6">'[2]Employee Productivity'!#REF!</definedName>
    <definedName name="MANAGERS" localSheetId="6">'[2]Employee Productivity'!#REF!</definedName>
    <definedName name="SELLINGZONES" localSheetId="6">Wednesday!$L$50:$S$50</definedName>
    <definedName name="stylists" localSheetId="6">'[2]Employee Productivity'!#REF!</definedName>
    <definedName name="zones" localSheetId="6">Wednesday!$I$50:$V$50</definedName>
    <definedName name="_xlnm.Print_Area" localSheetId="6">'Wednesday'!$A$2:$W$36</definedName>
    <definedName name="INITIALS" localSheetId="7">'[2]Employee Productivity'!#REF!</definedName>
    <definedName name="MANAGERS" localSheetId="7">'[2]Employee Productivity'!#REF!</definedName>
    <definedName name="SELLINGZONES" localSheetId="7">Thursday!$L$51:$S$51</definedName>
    <definedName name="stylists" localSheetId="7">'[2]Employee Productivity'!#REF!</definedName>
    <definedName name="zones" localSheetId="7">Thursday!$I$51:$V$51</definedName>
    <definedName name="_xlnm.Print_Area" localSheetId="7">'Thursday'!$A$2:$W$30</definedName>
    <definedName name="INITIALS" localSheetId="8">'[2]Employee Productivity'!#REF!</definedName>
    <definedName name="MANAGERS" localSheetId="8">'[2]Employee Productivity'!#REF!</definedName>
    <definedName name="SELLINGZONES" localSheetId="8">Friday!$L$48:$S$48</definedName>
    <definedName name="stylists" localSheetId="8">'[2]Employee Productivity'!#REF!</definedName>
    <definedName name="zones" localSheetId="8">Friday!$I$48:$V$48</definedName>
    <definedName name="_xlnm.Print_Area" localSheetId="8">'Friday'!$A$2:$W$46</definedName>
    <definedName name="INITIALS" localSheetId="9">'[2]Employee Productivity'!#REF!</definedName>
    <definedName name="MANAGERS" localSheetId="9">'[2]Employee Productivity'!#REF!</definedName>
    <definedName name="SELLINGZONES" localSheetId="9">Saturday!$L$62:$S$62</definedName>
    <definedName name="stylists" localSheetId="9">'[2]Employee Productivity'!#REF!</definedName>
    <definedName name="zones" localSheetId="9">Saturday!$J$62:$V$62</definedName>
    <definedName name="_xlnm.Print_Area" localSheetId="9">'Saturday'!$A$1:$Y$56</definedName>
    <definedName name="INITIALS" localSheetId="10">'[2]Employee Productivity'!#REF!</definedName>
    <definedName name="MANAGERS" localSheetId="10">'[2]Employee Productivity'!#REF!</definedName>
    <definedName name="SELLINGZONES" localSheetId="10">Sunday!$J$41:$Q$41</definedName>
    <definedName name="stylists" localSheetId="10">'[2]Employee Productivity'!#REF!</definedName>
    <definedName name="zones" localSheetId="10">Sunday!$I$41:$R$41</definedName>
    <definedName name="_xlnm.Print_Area" localSheetId="10">'Sunday'!$A$1:$U$37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%"/>
    <numFmt numFmtId="165" formatCode="$#,##0_);($#,##0)"/>
    <numFmt numFmtId="166" formatCode="yyyy-mm-dd"/>
  </numFmts>
  <fonts count="29">
    <font>
      <name val="Calibri"/>
      <family val="2"/>
      <color theme="1"/>
      <sz val="11"/>
      <scheme val="minor"/>
    </font>
    <font>
      <name val="Arial"/>
      <family val="2"/>
      <color rgb="FF000000"/>
      <sz val="9"/>
    </font>
    <font>
      <name val="Calibri"/>
      <family val="2"/>
      <color rgb="FF000000"/>
      <sz val="11"/>
    </font>
    <font>
      <name val="Arial"/>
      <family val="2"/>
      <color rgb="FFffffff"/>
      <sz val="14"/>
    </font>
    <font>
      <name val="Calibri"/>
      <family val="2"/>
      <color theme="1"/>
      <sz val="11"/>
    </font>
    <font>
      <name val="Arial"/>
      <family val="2"/>
      <color rgb="FF000000"/>
      <sz val="12"/>
    </font>
    <font>
      <name val="Arial"/>
      <family val="2"/>
      <color rgb="FF000000"/>
      <sz val="18"/>
    </font>
    <font>
      <name val="Arial"/>
      <family val="2"/>
      <color rgb="FFffffff"/>
      <sz val="12"/>
    </font>
    <font>
      <name val="Arial"/>
      <family val="2"/>
      <color rgb="FF000000"/>
      <sz val="14"/>
    </font>
    <font>
      <name val="Calibri Light"/>
      <family val="2"/>
      <color rgb="FF000000"/>
      <sz val="20"/>
    </font>
    <font>
      <name val="Arial"/>
      <family val="2"/>
      <color rgb="FFc00000"/>
      <sz val="14"/>
    </font>
    <font>
      <name val="Calibri"/>
      <family val="2"/>
      <color rgb="FF000000"/>
      <sz val="9"/>
    </font>
    <font>
      <name val="Arial"/>
      <family val="2"/>
      <color rgb="FFc00000"/>
      <sz val="18"/>
    </font>
    <font>
      <name val="Calibri Light"/>
      <family val="2"/>
      <color rgb="FFff0000"/>
      <sz val="14"/>
    </font>
    <font>
      <name val="Arial"/>
      <family val="2"/>
      <color rgb="FF333333"/>
      <sz val="16"/>
    </font>
    <font>
      <name val="Arial"/>
      <family val="2"/>
      <color rgb="FF000000"/>
      <sz val="16"/>
    </font>
    <font>
      <name val="Arial"/>
      <family val="2"/>
      <color rgb="FFc00000"/>
      <sz val="16"/>
    </font>
    <font>
      <name val="Arial"/>
      <family val="2"/>
      <color rgb="FFff0000"/>
      <sz val="14"/>
    </font>
    <font>
      <name val="Arial"/>
      <family val="2"/>
      <color rgb="FF000000"/>
      <sz val="20"/>
    </font>
    <font>
      <name val="Arial"/>
      <family val="2"/>
      <color rgb="FFc00000"/>
      <sz val="12"/>
    </font>
    <font>
      <name val="Calibri Light"/>
      <family val="2"/>
      <color rgb="FFc00000"/>
      <sz val="16"/>
    </font>
    <font>
      <name val="Calibri Light"/>
      <family val="2"/>
      <color rgb="FFc00000"/>
      <sz val="22"/>
    </font>
    <font>
      <name val="Arial"/>
      <family val="2"/>
      <color rgb="FF595959"/>
      <sz val="16"/>
    </font>
    <font>
      <name val="Arial"/>
      <family val="2"/>
      <color rgb="FFffffff"/>
      <sz val="9"/>
    </font>
    <font>
      <name val="Arial"/>
      <family val="2"/>
      <color rgb="FF000000"/>
      <sz val="8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9"/>
      <u val="single"/>
    </font>
    <font>
      <name val="Arial"/>
      <family val="2"/>
      <color rgb="FFffffff"/>
      <sz val="8"/>
    </font>
  </fonts>
  <fills count="30">
    <fill>
      <patternFill/>
    </fill>
    <fill>
      <patternFill patternType="gray125"/>
    </fill>
    <fill>
      <patternFill patternType="solid">
        <fgColor rgb="FFc00000"/>
      </patternFill>
    </fill>
    <fill>
      <patternFill patternType="solid">
        <fgColor rgb="FFd6dce5"/>
      </patternFill>
    </fill>
    <fill>
      <patternFill patternType="solid">
        <fgColor rgb="FFe7e6e6"/>
      </patternFill>
    </fill>
    <fill>
      <patternFill patternType="solid">
        <fgColor rgb="FF000000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46b097"/>
      </patternFill>
    </fill>
    <fill>
      <patternFill patternType="solid">
        <fgColor rgb="FFe0559f"/>
      </patternFill>
    </fill>
    <fill>
      <patternFill patternType="solid">
        <fgColor rgb="FFbd4b5b"/>
      </patternFill>
    </fill>
    <fill>
      <patternFill patternType="solid">
        <fgColor rgb="FFed7d31"/>
      </patternFill>
    </fill>
    <fill>
      <patternFill patternType="solid">
        <fgColor rgb="FFcc99ff"/>
      </patternFill>
    </fill>
    <fill>
      <patternFill patternType="solid">
        <fgColor rgb="FF4472c4"/>
      </patternFill>
    </fill>
    <fill>
      <patternFill patternType="solid">
        <fgColor rgb="FFfbe5d6"/>
      </patternFill>
    </fill>
    <fill>
      <patternFill patternType="solid">
        <fgColor rgb="FFfff2cc"/>
      </patternFill>
    </fill>
    <fill>
      <patternFill patternType="solid">
        <fgColor rgb="FFdae3f3"/>
      </patternFill>
    </fill>
    <fill>
      <patternFill patternType="solid">
        <fgColor rgb="FFbfbfbf"/>
      </patternFill>
    </fill>
    <fill>
      <patternFill patternType="solid">
        <fgColor rgb="FF8faadc"/>
      </patternFill>
    </fill>
    <fill>
      <patternFill patternType="solid">
        <fgColor rgb="FF2f5597"/>
      </patternFill>
    </fill>
    <fill>
      <patternFill patternType="solid">
        <fgColor rgb="FF704f8c"/>
      </patternFill>
    </fill>
    <fill>
      <patternFill patternType="solid">
        <fgColor rgb="FFf4b183"/>
      </patternFill>
    </fill>
    <fill>
      <patternFill patternType="solid">
        <fgColor rgb="FFff99ff"/>
      </patternFill>
    </fill>
    <fill>
      <patternFill patternType="solid">
        <fgColor rgb="FF92d050"/>
      </patternFill>
    </fill>
    <fill>
      <patternFill patternType="solid">
        <fgColor rgb="FFd3a9df"/>
      </patternFill>
    </fill>
    <fill>
      <patternFill patternType="solid">
        <fgColor rgb="FF8497b0"/>
      </patternFill>
    </fill>
    <fill>
      <patternFill patternType="solid">
        <fgColor rgb="FF595959"/>
      </patternFill>
    </fill>
    <fill>
      <patternFill patternType="solid">
        <fgColor rgb="FF808080"/>
      </patternFill>
    </fill>
  </fills>
  <borders count="8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000000"/>
      </bottom>
      <diagonal/>
    </border>
    <border>
      <left/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1"/>
  </cellStyleXfs>
  <cellXfs count="377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165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0" fontId="3" fillId="2" borderId="2" applyAlignment="1" pivotButton="0" quotePrefix="0" xfId="0">
      <alignment horizontal="center"/>
    </xf>
    <xf numFmtId="164" fontId="4" fillId="0" borderId="3" applyAlignment="1" pivotButton="0" quotePrefix="0" xfId="0">
      <alignment horizontal="left"/>
    </xf>
    <xf numFmtId="0" fontId="3" fillId="2" borderId="4" applyAlignment="1" pivotButton="0" quotePrefix="0" xfId="0">
      <alignment horizontal="left"/>
    </xf>
    <xf numFmtId="0" fontId="4" fillId="0" borderId="5" applyAlignment="1" pivotButton="0" quotePrefix="0" xfId="0">
      <alignment horizontal="left" wrapText="1"/>
    </xf>
    <xf numFmtId="165" fontId="4" fillId="0" borderId="5" applyAlignment="1" pivotButton="0" quotePrefix="0" xfId="0">
      <alignment horizontal="left"/>
    </xf>
    <xf numFmtId="164" fontId="4" fillId="0" borderId="5" applyAlignment="1" pivotButton="0" quotePrefix="0" xfId="0">
      <alignment horizontal="left"/>
    </xf>
    <xf numFmtId="0" fontId="4" fillId="0" borderId="5" applyAlignment="1" pivotButton="0" quotePrefix="0" xfId="0">
      <alignment horizontal="left"/>
    </xf>
    <xf numFmtId="4" fontId="2" fillId="0" borderId="1" applyAlignment="1" pivotButton="0" quotePrefix="0" xfId="0">
      <alignment horizontal="center"/>
    </xf>
    <xf numFmtId="0" fontId="5" fillId="3" borderId="6" applyAlignment="1" pivotButton="0" quotePrefix="0" xfId="0">
      <alignment horizontal="right"/>
    </xf>
    <xf numFmtId="164" fontId="6" fillId="0" borderId="7" applyAlignment="1" pivotButton="0" quotePrefix="0" xfId="0">
      <alignment horizontal="center" wrapText="1"/>
    </xf>
    <xf numFmtId="0" fontId="5" fillId="0" borderId="8" applyAlignment="1" pivotButton="0" quotePrefix="0" xfId="0">
      <alignment horizontal="center" vertical="top"/>
    </xf>
    <xf numFmtId="0" fontId="5" fillId="4" borderId="4" applyAlignment="1" pivotButton="0" quotePrefix="0" xfId="0">
      <alignment horizontal="right" wrapText="1"/>
    </xf>
    <xf numFmtId="165" fontId="5" fillId="4" borderId="9" applyAlignment="1" pivotButton="0" quotePrefix="0" xfId="0">
      <alignment horizontal="center"/>
    </xf>
    <xf numFmtId="164" fontId="5" fillId="4" borderId="9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164" fontId="7" fillId="5" borderId="1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left"/>
    </xf>
    <xf numFmtId="0" fontId="5" fillId="3" borderId="11" applyAlignment="1" pivotButton="0" quotePrefix="0" xfId="0">
      <alignment horizontal="right"/>
    </xf>
    <xf numFmtId="165" fontId="6" fillId="0" borderId="12" applyAlignment="1" pivotButton="0" quotePrefix="0" xfId="0">
      <alignment horizontal="center"/>
    </xf>
    <xf numFmtId="166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left"/>
    </xf>
    <xf numFmtId="0" fontId="5" fillId="6" borderId="13" applyAlignment="1" pivotButton="0" quotePrefix="0" xfId="0">
      <alignment horizontal="right" wrapText="1"/>
    </xf>
    <xf numFmtId="0" fontId="4" fillId="0" borderId="14" applyAlignment="1" pivotButton="0" quotePrefix="0" xfId="0">
      <alignment horizontal="left" wrapText="1"/>
    </xf>
    <xf numFmtId="164" fontId="8" fillId="6" borderId="15" applyAlignment="1" pivotButton="0" quotePrefix="0" xfId="0">
      <alignment horizontal="center"/>
    </xf>
    <xf numFmtId="0" fontId="5" fillId="4" borderId="12" applyAlignment="1" pivotButton="0" quotePrefix="0" xfId="0">
      <alignment horizontal="center" wrapText="1"/>
    </xf>
    <xf numFmtId="165" fontId="8" fillId="6" borderId="15" applyAlignment="1" pivotButton="0" quotePrefix="0" xfId="0">
      <alignment horizontal="center"/>
    </xf>
    <xf numFmtId="164" fontId="5" fillId="7" borderId="12" applyAlignment="1" pivotButton="0" quotePrefix="0" xfId="0">
      <alignment horizontal="center"/>
    </xf>
    <xf numFmtId="4" fontId="7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1" fontId="6" fillId="0" borderId="12" applyAlignment="1" pivotButton="0" quotePrefix="0" xfId="0">
      <alignment horizontal="center"/>
    </xf>
    <xf numFmtId="0" fontId="5" fillId="0" borderId="1" applyAlignment="1" pivotButton="0" quotePrefix="0" xfId="0">
      <alignment horizontal="center" vertical="top"/>
    </xf>
    <xf numFmtId="0" fontId="5" fillId="3" borderId="13" applyAlignment="1" pivotButton="0" quotePrefix="0" xfId="0">
      <alignment horizontal="right" wrapText="1"/>
    </xf>
    <xf numFmtId="165" fontId="8" fillId="7" borderId="15" applyAlignment="1" pivotButton="0" quotePrefix="0" xfId="0">
      <alignment horizontal="center"/>
    </xf>
    <xf numFmtId="164" fontId="6" fillId="0" borderId="12" applyAlignment="1" pivotButton="0" quotePrefix="0" xfId="0">
      <alignment horizontal="center"/>
    </xf>
    <xf numFmtId="1" fontId="8" fillId="7" borderId="15" applyAlignment="1" pivotButton="0" quotePrefix="0" xfId="0">
      <alignment horizontal="center"/>
    </xf>
    <xf numFmtId="1" fontId="6" fillId="6" borderId="12" applyAlignment="1" pivotButton="0" quotePrefix="0" xfId="0">
      <alignment horizontal="center"/>
    </xf>
    <xf numFmtId="164" fontId="8" fillId="7" borderId="15" applyAlignment="1" pivotButton="0" quotePrefix="0" xfId="0">
      <alignment horizontal="center"/>
    </xf>
    <xf numFmtId="4" fontId="8" fillId="7" borderId="15" applyAlignment="1" pivotButton="0" quotePrefix="0" xfId="0">
      <alignment horizontal="center"/>
    </xf>
    <xf numFmtId="164" fontId="5" fillId="7" borderId="12" applyAlignment="1" pivotButton="0" quotePrefix="0" xfId="0">
      <alignment horizontal="left"/>
    </xf>
    <xf numFmtId="4" fontId="6" fillId="0" borderId="12" applyAlignment="1" pivotButton="0" quotePrefix="0" xfId="0">
      <alignment horizontal="center"/>
    </xf>
    <xf numFmtId="0" fontId="5" fillId="3" borderId="16" applyAlignment="1" pivotButton="0" quotePrefix="0" xfId="0">
      <alignment horizontal="right"/>
    </xf>
    <xf numFmtId="165" fontId="6" fillId="0" borderId="17" applyAlignment="1" pivotButton="0" quotePrefix="0" xfId="0">
      <alignment horizontal="center"/>
    </xf>
    <xf numFmtId="0" fontId="8" fillId="7" borderId="15" applyAlignment="1" pivotButton="0" quotePrefix="0" xfId="0">
      <alignment horizontal="center"/>
    </xf>
    <xf numFmtId="4" fontId="5" fillId="0" borderId="1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164" fontId="4" fillId="0" borderId="19" applyAlignment="1" pivotButton="0" quotePrefix="0" xfId="0">
      <alignment horizontal="left"/>
    </xf>
    <xf numFmtId="0" fontId="5" fillId="3" borderId="20" applyAlignment="1" pivotButton="0" quotePrefix="0" xfId="0">
      <alignment horizontal="right" wrapText="1"/>
    </xf>
    <xf numFmtId="0" fontId="4" fillId="0" borderId="21" applyAlignment="1" pivotButton="0" quotePrefix="0" xfId="0">
      <alignment horizontal="left" wrapText="1"/>
    </xf>
    <xf numFmtId="165" fontId="8" fillId="4" borderId="22" applyAlignment="1" pivotButton="0" quotePrefix="0" xfId="0">
      <alignment horizontal="center"/>
    </xf>
    <xf numFmtId="164" fontId="5" fillId="7" borderId="23" applyAlignment="1" pivotButton="0" quotePrefix="0" xfId="0">
      <alignment horizontal="left"/>
    </xf>
    <xf numFmtId="165" fontId="6" fillId="0" borderId="7" applyAlignment="1" pivotButton="0" quotePrefix="0" xfId="0">
      <alignment horizontal="center"/>
    </xf>
    <xf numFmtId="0" fontId="2" fillId="0" borderId="1" applyAlignment="1" pivotButton="0" quotePrefix="0" xfId="0">
      <alignment horizontal="left" wrapText="1"/>
    </xf>
    <xf numFmtId="165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right"/>
    </xf>
    <xf numFmtId="0" fontId="3" fillId="2" borderId="18" applyAlignment="1" pivotButton="0" quotePrefix="0" xfId="0">
      <alignment horizontal="left"/>
    </xf>
    <xf numFmtId="0" fontId="4" fillId="0" borderId="19" applyAlignment="1" pivotButton="0" quotePrefix="0" xfId="0">
      <alignment horizontal="left" wrapText="1"/>
    </xf>
    <xf numFmtId="165" fontId="4" fillId="0" borderId="19" applyAlignment="1" pivotButton="0" quotePrefix="0" xfId="0">
      <alignment horizontal="left"/>
    </xf>
    <xf numFmtId="0" fontId="4" fillId="0" borderId="19" applyAlignment="1" pivotButton="0" quotePrefix="0" xfId="0">
      <alignment horizontal="left"/>
    </xf>
    <xf numFmtId="0" fontId="4" fillId="0" borderId="8" applyAlignment="1" pivotButton="0" quotePrefix="0" xfId="0">
      <alignment horizontal="left"/>
    </xf>
    <xf numFmtId="0" fontId="5" fillId="4" borderId="24" applyAlignment="1" pivotButton="0" quotePrefix="0" xfId="0">
      <alignment horizontal="center"/>
    </xf>
    <xf numFmtId="0" fontId="5" fillId="4" borderId="25" applyAlignment="1" pivotButton="0" quotePrefix="0" xfId="0">
      <alignment horizontal="center" wrapText="1"/>
    </xf>
    <xf numFmtId="165" fontId="5" fillId="4" borderId="25" applyAlignment="1" pivotButton="0" quotePrefix="0" xfId="0">
      <alignment horizontal="center"/>
    </xf>
    <xf numFmtId="0" fontId="5" fillId="4" borderId="25" applyAlignment="1" pivotButton="0" quotePrefix="0" xfId="0">
      <alignment horizontal="center"/>
    </xf>
    <xf numFmtId="164" fontId="5" fillId="4" borderId="25" applyAlignment="1" pivotButton="0" quotePrefix="0" xfId="0">
      <alignment horizontal="center"/>
    </xf>
    <xf numFmtId="0" fontId="5" fillId="4" borderId="26" applyAlignment="1" pivotButton="0" quotePrefix="0" xfId="0">
      <alignment horizontal="center"/>
    </xf>
    <xf numFmtId="165" fontId="6" fillId="7" borderId="12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15" applyAlignment="1" pivotButton="0" quotePrefix="0" xfId="0">
      <alignment horizontal="left"/>
    </xf>
    <xf numFmtId="0" fontId="5" fillId="0" borderId="27" applyAlignment="1" pivotButton="0" quotePrefix="0" xfId="0">
      <alignment horizontal="center"/>
    </xf>
    <xf numFmtId="0" fontId="8" fillId="0" borderId="28" applyAlignment="1" pivotButton="0" quotePrefix="0" xfId="0">
      <alignment horizontal="center" wrapText="1"/>
    </xf>
    <xf numFmtId="0" fontId="8" fillId="0" borderId="29" applyAlignment="1" pivotButton="0" quotePrefix="0" xfId="0">
      <alignment horizontal="center" wrapText="1"/>
    </xf>
    <xf numFmtId="164" fontId="8" fillId="8" borderId="15" applyAlignment="1" pivotButton="0" quotePrefix="0" xfId="0">
      <alignment horizontal="center"/>
    </xf>
    <xf numFmtId="164" fontId="8" fillId="0" borderId="15" applyAlignment="1" pivotButton="0" quotePrefix="0" xfId="0">
      <alignment horizontal="center"/>
    </xf>
    <xf numFmtId="164" fontId="8" fillId="9" borderId="15" applyAlignment="1" pivotButton="0" quotePrefix="0" xfId="0">
      <alignment horizontal="center"/>
    </xf>
    <xf numFmtId="165" fontId="5" fillId="7" borderId="12" applyAlignment="1" pivotButton="0" quotePrefix="0" xfId="0">
      <alignment horizontal="center"/>
    </xf>
    <xf numFmtId="4" fontId="5" fillId="0" borderId="29" applyAlignment="1" pivotButton="0" quotePrefix="0" xfId="0">
      <alignment horizontal="center"/>
    </xf>
    <xf numFmtId="164" fontId="8" fillId="10" borderId="15" applyAlignment="1" pivotButton="0" quotePrefix="0" xfId="0">
      <alignment horizontal="center"/>
    </xf>
    <xf numFmtId="164" fontId="8" fillId="11" borderId="15" applyAlignment="1" pivotButton="0" quotePrefix="0" xfId="0">
      <alignment horizontal="center"/>
    </xf>
    <xf numFmtId="165" fontId="8" fillId="11" borderId="15" applyAlignment="1" pivotButton="0" quotePrefix="0" xfId="0">
      <alignment horizontal="center"/>
    </xf>
    <xf numFmtId="0" fontId="5" fillId="0" borderId="30" applyAlignment="1" pivotButton="0" quotePrefix="0" xfId="0">
      <alignment horizontal="right"/>
    </xf>
    <xf numFmtId="164" fontId="8" fillId="0" borderId="31" applyAlignment="1" pivotButton="0" quotePrefix="0" xfId="0">
      <alignment horizontal="center"/>
    </xf>
    <xf numFmtId="0" fontId="5" fillId="7" borderId="15" applyAlignment="1" pivotButton="0" quotePrefix="0" xfId="0">
      <alignment horizontal="center"/>
    </xf>
    <xf numFmtId="0" fontId="5" fillId="7" borderId="32" applyAlignment="1" pivotButton="0" quotePrefix="0" xfId="0">
      <alignment horizontal="center"/>
    </xf>
    <xf numFmtId="0" fontId="8" fillId="0" borderId="11" applyAlignment="1" pivotButton="0" quotePrefix="0" xfId="0">
      <alignment horizontal="center" wrapText="1"/>
    </xf>
    <xf numFmtId="0" fontId="8" fillId="0" borderId="15" applyAlignment="1" pivotButton="0" quotePrefix="0" xfId="0">
      <alignment horizontal="center" wrapText="1"/>
    </xf>
    <xf numFmtId="0" fontId="5" fillId="0" borderId="30" applyAlignment="1" pivotButton="0" quotePrefix="0" xfId="0">
      <alignment horizontal="left"/>
    </xf>
    <xf numFmtId="164" fontId="8" fillId="0" borderId="33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165" fontId="8" fillId="10" borderId="15" applyAlignment="1" pivotButton="0" quotePrefix="0" xfId="0">
      <alignment horizontal="center"/>
    </xf>
    <xf numFmtId="165" fontId="8" fillId="12" borderId="15" applyAlignment="1" pivotButton="0" quotePrefix="0" xfId="0">
      <alignment horizontal="center"/>
    </xf>
    <xf numFmtId="0" fontId="9" fillId="0" borderId="3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165" fontId="8" fillId="13" borderId="15" applyAlignment="1" pivotButton="0" quotePrefix="0" xfId="0">
      <alignment horizontal="center"/>
    </xf>
    <xf numFmtId="164" fontId="8" fillId="12" borderId="15" applyAlignment="1" pivotButton="0" quotePrefix="0" xfId="0">
      <alignment horizontal="center"/>
    </xf>
    <xf numFmtId="165" fontId="8" fillId="14" borderId="15" applyAlignment="1" pivotButton="0" quotePrefix="0" xfId="0">
      <alignment horizontal="center"/>
    </xf>
    <xf numFmtId="0" fontId="8" fillId="14" borderId="15" applyAlignment="1" pivotButton="0" quotePrefix="0" xfId="0">
      <alignment horizontal="center"/>
    </xf>
    <xf numFmtId="0" fontId="9" fillId="0" borderId="30" applyAlignment="1" pivotButton="0" quotePrefix="0" xfId="0">
      <alignment horizontal="left"/>
    </xf>
    <xf numFmtId="164" fontId="9" fillId="0" borderId="1" applyAlignment="1" pivotButton="0" quotePrefix="0" xfId="0">
      <alignment horizontal="center"/>
    </xf>
    <xf numFmtId="0" fontId="8" fillId="10" borderId="15" applyAlignment="1" pivotButton="0" quotePrefix="0" xfId="0">
      <alignment horizontal="center"/>
    </xf>
    <xf numFmtId="164" fontId="8" fillId="13" borderId="15" applyAlignment="1" pivotButton="0" quotePrefix="0" xfId="0">
      <alignment horizontal="center"/>
    </xf>
    <xf numFmtId="0" fontId="8" fillId="13" borderId="15" applyAlignment="1" pivotButton="0" quotePrefix="0" xfId="0">
      <alignment horizontal="center"/>
    </xf>
    <xf numFmtId="0" fontId="10" fillId="0" borderId="30" applyAlignment="1" pivotButton="0" quotePrefix="0" xfId="0">
      <alignment horizontal="left"/>
    </xf>
    <xf numFmtId="164" fontId="5" fillId="0" borderId="1" applyAlignment="1" pivotButton="0" quotePrefix="0" xfId="0">
      <alignment horizontal="left"/>
    </xf>
    <xf numFmtId="165" fontId="8" fillId="0" borderId="15" applyAlignment="1" pivotButton="0" quotePrefix="0" xfId="0">
      <alignment horizontal="center"/>
    </xf>
    <xf numFmtId="0" fontId="10" fillId="0" borderId="30" applyAlignment="1" pivotButton="0" quotePrefix="0" xfId="0">
      <alignment horizontal="center" wrapText="1"/>
    </xf>
    <xf numFmtId="164" fontId="10" fillId="0" borderId="1" applyAlignment="1" pivotButton="0" quotePrefix="0" xfId="0">
      <alignment horizontal="center" wrapText="1"/>
    </xf>
    <xf numFmtId="0" fontId="10" fillId="0" borderId="34" applyAlignment="1" pivotButton="0" quotePrefix="0" xfId="0">
      <alignment horizontal="center"/>
    </xf>
    <xf numFmtId="164" fontId="4" fillId="0" borderId="35" applyAlignment="1" pivotButton="0" quotePrefix="0" xfId="0">
      <alignment horizontal="left"/>
    </xf>
    <xf numFmtId="4" fontId="5" fillId="7" borderId="36" applyAlignment="1" pivotButton="0" quotePrefix="0" xfId="0">
      <alignment horizontal="left"/>
    </xf>
    <xf numFmtId="165" fontId="8" fillId="15" borderId="15" applyAlignment="1" pivotButton="0" quotePrefix="0" xfId="0">
      <alignment horizontal="center"/>
    </xf>
    <xf numFmtId="0" fontId="8" fillId="15" borderId="15" applyAlignment="1" pivotButton="0" quotePrefix="0" xfId="0">
      <alignment horizontal="center"/>
    </xf>
    <xf numFmtId="4" fontId="5" fillId="4" borderId="37" applyAlignment="1" pivotButton="0" quotePrefix="0" xfId="0">
      <alignment horizontal="center"/>
    </xf>
    <xf numFmtId="0" fontId="8" fillId="0" borderId="34" applyAlignment="1" pivotButton="0" quotePrefix="0" xfId="0">
      <alignment horizontal="center"/>
    </xf>
    <xf numFmtId="3" fontId="8" fillId="0" borderId="15" applyAlignment="1" pivotButton="0" quotePrefix="0" xfId="0">
      <alignment horizontal="center" wrapText="1"/>
    </xf>
    <xf numFmtId="0" fontId="8" fillId="0" borderId="15" applyAlignment="1" pivotButton="0" quotePrefix="0" xfId="0">
      <alignment horizontal="center"/>
    </xf>
    <xf numFmtId="4" fontId="5" fillId="4" borderId="38" applyAlignment="1" pivotButton="0" quotePrefix="0" xfId="0">
      <alignment horizontal="center"/>
    </xf>
    <xf numFmtId="0" fontId="8" fillId="0" borderId="39" applyAlignment="1" pivotButton="0" quotePrefix="0" xfId="0">
      <alignment horizontal="center" wrapText="1"/>
    </xf>
    <xf numFmtId="0" fontId="5" fillId="0" borderId="1" applyAlignment="1" pivotButton="0" quotePrefix="0" xfId="0">
      <alignment horizontal="left" wrapText="1"/>
    </xf>
    <xf numFmtId="4" fontId="5" fillId="4" borderId="40" applyAlignment="1" pivotButton="0" quotePrefix="0" xfId="0">
      <alignment horizontal="center"/>
    </xf>
    <xf numFmtId="0" fontId="8" fillId="0" borderId="1" applyAlignment="1" pivotButton="0" quotePrefix="0" xfId="0">
      <alignment horizontal="center" wrapText="1"/>
    </xf>
    <xf numFmtId="3" fontId="8" fillId="0" borderId="22" applyAlignment="1" pivotButton="0" quotePrefix="0" xfId="0">
      <alignment horizontal="center" wrapText="1"/>
    </xf>
    <xf numFmtId="3" fontId="8" fillId="0" borderId="1" applyAlignment="1" pivotButton="0" quotePrefix="0" xfId="0">
      <alignment horizontal="center" wrapText="1"/>
    </xf>
    <xf numFmtId="165" fontId="5" fillId="0" borderId="1" applyAlignment="1" pivotButton="0" quotePrefix="0" xfId="0">
      <alignment horizontal="left"/>
    </xf>
    <xf numFmtId="0" fontId="10" fillId="0" borderId="41" applyAlignment="1" pivotButton="0" quotePrefix="0" xfId="0">
      <alignment horizontal="center"/>
    </xf>
    <xf numFmtId="164" fontId="4" fillId="0" borderId="42" applyAlignment="1" pivotButton="0" quotePrefix="0" xfId="0">
      <alignment horizontal="left"/>
    </xf>
    <xf numFmtId="165" fontId="8" fillId="0" borderId="22" applyAlignment="1" pivotButton="0" quotePrefix="0" xfId="0">
      <alignment horizontal="center"/>
    </xf>
    <xf numFmtId="0" fontId="8" fillId="0" borderId="22" applyAlignment="1" pivotButton="0" quotePrefix="0" xfId="0">
      <alignment horizontal="center"/>
    </xf>
    <xf numFmtId="164" fontId="8" fillId="0" borderId="22" applyAlignment="1" pivotButton="0" quotePrefix="0" xfId="0">
      <alignment horizontal="center"/>
    </xf>
    <xf numFmtId="165" fontId="5" fillId="7" borderId="23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164" fontId="10" fillId="0" borderId="1" applyAlignment="1" pivotButton="0" quotePrefix="0" xfId="0">
      <alignment horizontal="center"/>
    </xf>
    <xf numFmtId="0" fontId="5" fillId="7" borderId="36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165" fontId="5" fillId="7" borderId="36" applyAlignment="1" pivotButton="0" quotePrefix="0" xfId="0">
      <alignment horizontal="center"/>
    </xf>
    <xf numFmtId="165" fontId="5" fillId="16" borderId="15" applyAlignment="1" pivotButton="0" quotePrefix="0" xfId="0">
      <alignment horizontal="center"/>
    </xf>
    <xf numFmtId="164" fontId="5" fillId="17" borderId="15" applyAlignment="1" pivotButton="0" quotePrefix="0" xfId="0">
      <alignment horizontal="center"/>
    </xf>
    <xf numFmtId="165" fontId="5" fillId="17" borderId="15" applyAlignment="1" pivotButton="0" quotePrefix="0" xfId="0">
      <alignment horizontal="center"/>
    </xf>
    <xf numFmtId="165" fontId="5" fillId="18" borderId="15" applyAlignment="1" pivotButton="0" quotePrefix="0" xfId="0">
      <alignment horizontal="center"/>
    </xf>
    <xf numFmtId="0" fontId="5" fillId="18" borderId="15" applyAlignment="1" pivotButton="0" quotePrefix="0" xfId="0">
      <alignment horizontal="center"/>
    </xf>
    <xf numFmtId="0" fontId="5" fillId="19" borderId="15" applyAlignment="1" pivotButton="0" quotePrefix="0" xfId="0">
      <alignment horizontal="center"/>
    </xf>
    <xf numFmtId="4" fontId="5" fillId="4" borderId="15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164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165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center" wrapText="1"/>
    </xf>
    <xf numFmtId="164" fontId="5" fillId="0" borderId="7" applyAlignment="1" pivotButton="0" quotePrefix="0" xfId="0">
      <alignment horizontal="center" wrapText="1"/>
    </xf>
    <xf numFmtId="165" fontId="8" fillId="7" borderId="32" applyAlignment="1" pivotButton="0" quotePrefix="0" xfId="0">
      <alignment horizontal="center"/>
    </xf>
    <xf numFmtId="1" fontId="8" fillId="7" borderId="32" applyAlignment="1" pivotButton="0" quotePrefix="0" xfId="0">
      <alignment horizontal="center"/>
    </xf>
    <xf numFmtId="164" fontId="8" fillId="7" borderId="32" applyAlignment="1" pivotButton="0" quotePrefix="0" xfId="0">
      <alignment horizontal="center"/>
    </xf>
    <xf numFmtId="4" fontId="8" fillId="7" borderId="32" applyAlignment="1" pivotButton="0" quotePrefix="0" xfId="0">
      <alignment horizontal="center"/>
    </xf>
    <xf numFmtId="0" fontId="2" fillId="0" borderId="1" applyAlignment="1" pivotButton="0" quotePrefix="0" xfId="0">
      <alignment horizontal="center" wrapText="1"/>
    </xf>
    <xf numFmtId="165" fontId="6" fillId="0" borderId="1" applyAlignment="1" pivotButton="0" quotePrefix="0" xfId="0">
      <alignment horizontal="center"/>
    </xf>
    <xf numFmtId="0" fontId="5" fillId="4" borderId="6" applyAlignment="1" pivotButton="0" quotePrefix="0" xfId="0">
      <alignment horizontal="center"/>
    </xf>
    <xf numFmtId="165" fontId="5" fillId="0" borderId="43" applyAlignment="1" pivotButton="0" quotePrefix="0" xfId="0">
      <alignment horizontal="center"/>
    </xf>
    <xf numFmtId="164" fontId="8" fillId="14" borderId="15" applyAlignment="1" pivotButton="0" quotePrefix="0" xfId="0">
      <alignment horizontal="center"/>
    </xf>
    <xf numFmtId="164" fontId="8" fillId="15" borderId="15" applyAlignment="1" pivotButton="0" quotePrefix="0" xfId="0">
      <alignment horizontal="center"/>
    </xf>
    <xf numFmtId="164" fontId="12" fillId="0" borderId="1" applyAlignment="1" pivotButton="0" quotePrefix="0" xfId="0">
      <alignment horizontal="left" wrapText="1"/>
    </xf>
    <xf numFmtId="0" fontId="13" fillId="0" borderId="30" applyAlignment="1" pivotButton="0" quotePrefix="0" xfId="0">
      <alignment horizontal="left"/>
    </xf>
    <xf numFmtId="164" fontId="9" fillId="0" borderId="1" applyAlignment="1" pivotButton="0" quotePrefix="0" xfId="0">
      <alignment horizontal="left"/>
    </xf>
    <xf numFmtId="0" fontId="6" fillId="0" borderId="30" applyAlignment="1" pivotButton="0" quotePrefix="0" xfId="0">
      <alignment horizontal="left"/>
    </xf>
    <xf numFmtId="164" fontId="6" fillId="0" borderId="35" applyAlignment="1" pivotButton="0" quotePrefix="0" xfId="0">
      <alignment horizontal="left"/>
    </xf>
    <xf numFmtId="0" fontId="8" fillId="0" borderId="30" applyAlignment="1" pivotButton="0" quotePrefix="0" xfId="0">
      <alignment horizontal="center"/>
    </xf>
    <xf numFmtId="164" fontId="8" fillId="0" borderId="35" applyAlignment="1" pivotButton="0" quotePrefix="0" xfId="0">
      <alignment horizontal="center"/>
    </xf>
    <xf numFmtId="165" fontId="8" fillId="20" borderId="15" applyAlignment="1" pivotButton="0" quotePrefix="0" xfId="0">
      <alignment horizontal="center"/>
    </xf>
    <xf numFmtId="165" fontId="5" fillId="0" borderId="12" applyAlignment="1" pivotButton="0" quotePrefix="0" xfId="0">
      <alignment horizontal="center"/>
    </xf>
    <xf numFmtId="3" fontId="8" fillId="0" borderId="15" applyAlignment="1" pivotButton="0" quotePrefix="0" xfId="0">
      <alignment horizontal="center"/>
    </xf>
    <xf numFmtId="164" fontId="5" fillId="4" borderId="15" applyAlignment="1" pivotButton="0" quotePrefix="0" xfId="0">
      <alignment horizontal="center" wrapText="1"/>
    </xf>
    <xf numFmtId="164" fontId="5" fillId="16" borderId="15" applyAlignment="1" pivotButton="0" quotePrefix="0" xfId="0">
      <alignment horizontal="center"/>
    </xf>
    <xf numFmtId="164" fontId="5" fillId="18" borderId="15" applyAlignment="1" pivotButton="0" quotePrefix="0" xfId="0">
      <alignment horizontal="center"/>
    </xf>
    <xf numFmtId="164" fontId="5" fillId="19" borderId="15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 wrapText="1"/>
    </xf>
    <xf numFmtId="3" fontId="5" fillId="4" borderId="44" applyAlignment="1" pivotButton="0" quotePrefix="0" xfId="0">
      <alignment horizontal="right" wrapText="1"/>
    </xf>
    <xf numFmtId="3" fontId="5" fillId="6" borderId="37" applyAlignment="1" pivotButton="0" quotePrefix="0" xfId="0">
      <alignment horizontal="right" wrapText="1"/>
    </xf>
    <xf numFmtId="0" fontId="5" fillId="6" borderId="37" applyAlignment="1" pivotButton="0" quotePrefix="0" xfId="0">
      <alignment horizontal="right" wrapText="1"/>
    </xf>
    <xf numFmtId="0" fontId="5" fillId="3" borderId="37" applyAlignment="1" pivotButton="0" quotePrefix="0" xfId="0">
      <alignment horizontal="right" wrapText="1"/>
    </xf>
    <xf numFmtId="3" fontId="5" fillId="3" borderId="37" applyAlignment="1" pivotButton="0" quotePrefix="0" xfId="0">
      <alignment horizontal="right" wrapText="1"/>
    </xf>
    <xf numFmtId="164" fontId="5" fillId="3" borderId="37" applyAlignment="1" pivotButton="0" quotePrefix="0" xfId="0">
      <alignment horizontal="right" wrapText="1"/>
    </xf>
    <xf numFmtId="164" fontId="5" fillId="3" borderId="45" applyAlignment="1" pivotButton="0" quotePrefix="0" xfId="0">
      <alignment horizontal="right" wrapText="1"/>
    </xf>
    <xf numFmtId="165" fontId="14" fillId="7" borderId="46" applyAlignment="1" pivotButton="0" quotePrefix="0" xfId="0">
      <alignment horizontal="center"/>
    </xf>
    <xf numFmtId="164" fontId="6" fillId="7" borderId="12" applyAlignment="1" pivotButton="0" quotePrefix="0" xfId="0">
      <alignment horizontal="center"/>
    </xf>
    <xf numFmtId="0" fontId="5" fillId="4" borderId="47" applyAlignment="1" pivotButton="0" quotePrefix="0" xfId="0">
      <alignment horizontal="center" wrapText="1"/>
    </xf>
    <xf numFmtId="165" fontId="5" fillId="4" borderId="47" applyAlignment="1" pivotButton="0" quotePrefix="0" xfId="0">
      <alignment horizontal="center"/>
    </xf>
    <xf numFmtId="165" fontId="15" fillId="0" borderId="1" applyAlignment="1" pivotButton="0" quotePrefix="0" xfId="0">
      <alignment horizontal="center"/>
    </xf>
    <xf numFmtId="0" fontId="8" fillId="0" borderId="15" applyAlignment="1" pivotButton="0" quotePrefix="1" xfId="0">
      <alignment horizontal="center" wrapText="1"/>
    </xf>
    <xf numFmtId="0" fontId="8" fillId="7" borderId="15" applyAlignment="1" pivotButton="0" quotePrefix="0" xfId="0">
      <alignment horizontal="center" wrapText="1"/>
    </xf>
    <xf numFmtId="0" fontId="8" fillId="7" borderId="15" applyAlignment="1" pivotButton="0" quotePrefix="1" xfId="0">
      <alignment horizontal="center" wrapText="1"/>
    </xf>
    <xf numFmtId="164" fontId="8" fillId="7" borderId="15" applyAlignment="1" pivotButton="0" quotePrefix="1" xfId="0">
      <alignment horizontal="center"/>
    </xf>
    <xf numFmtId="164" fontId="8" fillId="14" borderId="15" applyAlignment="1" pivotButton="0" quotePrefix="1" xfId="0">
      <alignment horizontal="center"/>
    </xf>
    <xf numFmtId="165" fontId="5" fillId="7" borderId="48" applyAlignment="1" pivotButton="0" quotePrefix="0" xfId="0">
      <alignment horizontal="center"/>
    </xf>
    <xf numFmtId="3" fontId="8" fillId="7" borderId="15" applyAlignment="1" pivotButton="0" quotePrefix="0" xfId="0">
      <alignment horizontal="center" wrapText="1"/>
    </xf>
    <xf numFmtId="164" fontId="8" fillId="21" borderId="15" applyAlignment="1" pivotButton="0" quotePrefix="1" xfId="0">
      <alignment horizontal="center"/>
    </xf>
    <xf numFmtId="0" fontId="16" fillId="0" borderId="30" applyAlignment="1" pivotButton="0" quotePrefix="0" xfId="0">
      <alignment horizontal="left"/>
    </xf>
    <xf numFmtId="164" fontId="8" fillId="11" borderId="15" applyAlignment="1" pivotButton="0" quotePrefix="1" xfId="0">
      <alignment horizontal="center"/>
    </xf>
    <xf numFmtId="165" fontId="5" fillId="0" borderId="31" applyAlignment="1" pivotButton="0" quotePrefix="0" xfId="0">
      <alignment horizontal="center"/>
    </xf>
    <xf numFmtId="164" fontId="8" fillId="13" borderId="15" applyAlignment="1" pivotButton="0" quotePrefix="1" xfId="0">
      <alignment horizontal="center"/>
    </xf>
    <xf numFmtId="0" fontId="9" fillId="0" borderId="1" applyAlignment="1" pivotButton="0" quotePrefix="0" xfId="0">
      <alignment horizontal="center"/>
    </xf>
    <xf numFmtId="0" fontId="5" fillId="7" borderId="49" applyAlignment="1" pivotButton="0" quotePrefix="0" xfId="0">
      <alignment horizontal="center"/>
    </xf>
    <xf numFmtId="0" fontId="5" fillId="7" borderId="50" applyAlignment="1" pivotButton="0" quotePrefix="0" xfId="0">
      <alignment horizontal="center"/>
    </xf>
    <xf numFmtId="164" fontId="8" fillId="12" borderId="15" applyAlignment="1" pivotButton="0" quotePrefix="1" xfId="0">
      <alignment horizontal="center"/>
    </xf>
    <xf numFmtId="165" fontId="5" fillId="0" borderId="14" applyAlignment="1" pivotButton="0" quotePrefix="0" xfId="0">
      <alignment horizontal="center"/>
    </xf>
    <xf numFmtId="4" fontId="5" fillId="4" borderId="36" applyAlignment="1" pivotButton="0" quotePrefix="0" xfId="0">
      <alignment horizontal="center"/>
    </xf>
    <xf numFmtId="0" fontId="10" fillId="0" borderId="1" applyAlignment="1" pivotButton="0" quotePrefix="0" xfId="0">
      <alignment horizontal="left" wrapText="1"/>
    </xf>
    <xf numFmtId="4" fontId="5" fillId="7" borderId="15" applyAlignment="1" pivotButton="0" quotePrefix="0" xfId="0">
      <alignment horizontal="center"/>
    </xf>
    <xf numFmtId="0" fontId="8" fillId="0" borderId="51" applyAlignment="1" pivotButton="0" quotePrefix="0" xfId="0">
      <alignment horizontal="center" wrapText="1"/>
    </xf>
    <xf numFmtId="0" fontId="8" fillId="0" borderId="15" applyAlignment="1" pivotButton="0" quotePrefix="1" xfId="0">
      <alignment horizontal="center"/>
    </xf>
    <xf numFmtId="164" fontId="8" fillId="8" borderId="15" applyAlignment="1" pivotButton="0" quotePrefix="1" xfId="0">
      <alignment horizontal="center"/>
    </xf>
    <xf numFmtId="4" fontId="5" fillId="7" borderId="37" applyAlignment="1" pivotButton="0" quotePrefix="0" xfId="0">
      <alignment horizontal="center"/>
    </xf>
    <xf numFmtId="4" fontId="5" fillId="7" borderId="36" applyAlignment="1" pivotButton="0" quotePrefix="0" xfId="0">
      <alignment horizontal="center"/>
    </xf>
    <xf numFmtId="0" fontId="8" fillId="0" borderId="27" applyAlignment="1" pivotButton="0" quotePrefix="0" xfId="0">
      <alignment horizontal="center" wrapText="1"/>
    </xf>
    <xf numFmtId="165" fontId="5" fillId="0" borderId="15" applyAlignment="1" pivotButton="0" quotePrefix="0" xfId="0">
      <alignment horizontal="center"/>
    </xf>
    <xf numFmtId="0" fontId="5" fillId="7" borderId="25" applyAlignment="1" pivotButton="0" quotePrefix="0" xfId="0">
      <alignment horizontal="center"/>
    </xf>
    <xf numFmtId="0" fontId="5" fillId="7" borderId="52" applyAlignment="1" pivotButton="0" quotePrefix="0" xfId="0">
      <alignment horizontal="center"/>
    </xf>
    <xf numFmtId="165" fontId="5" fillId="7" borderId="15" applyAlignment="1" pivotButton="0" quotePrefix="0" xfId="0">
      <alignment horizontal="left"/>
    </xf>
    <xf numFmtId="164" fontId="8" fillId="10" borderId="15" applyAlignment="1" pivotButton="0" quotePrefix="1" xfId="0">
      <alignment horizontal="center"/>
    </xf>
    <xf numFmtId="0" fontId="5" fillId="9" borderId="48" applyAlignment="1" pivotButton="0" quotePrefix="0" xfId="0">
      <alignment horizontal="center"/>
    </xf>
    <xf numFmtId="165" fontId="8" fillId="22" borderId="15" applyAlignment="1" pivotButton="0" quotePrefix="0" xfId="0">
      <alignment horizontal="center"/>
    </xf>
    <xf numFmtId="165" fontId="17" fillId="7" borderId="15" applyAlignment="1" pivotButton="0" quotePrefix="0" xfId="0">
      <alignment horizontal="center"/>
    </xf>
    <xf numFmtId="164" fontId="8" fillId="15" borderId="15" applyAlignment="1" pivotButton="0" quotePrefix="1" xfId="0">
      <alignment horizontal="center"/>
    </xf>
    <xf numFmtId="165" fontId="17" fillId="22" borderId="15" applyAlignment="1" pivotButton="0" quotePrefix="0" xfId="0">
      <alignment horizontal="center"/>
    </xf>
    <xf numFmtId="0" fontId="8" fillId="23" borderId="15" applyAlignment="1" pivotButton="0" quotePrefix="1" xfId="0">
      <alignment horizontal="center" wrapText="1"/>
    </xf>
    <xf numFmtId="165" fontId="8" fillId="23" borderId="15" applyAlignment="1" pivotButton="0" quotePrefix="0" xfId="0">
      <alignment horizontal="center"/>
    </xf>
    <xf numFmtId="165" fontId="5" fillId="0" borderId="15" applyAlignment="1" pivotButton="0" quotePrefix="0" xfId="0">
      <alignment horizontal="left"/>
    </xf>
    <xf numFmtId="3" fontId="8" fillId="0" borderId="53" applyAlignment="1" pivotButton="0" quotePrefix="0" xfId="0">
      <alignment horizontal="center" wrapText="1"/>
    </xf>
    <xf numFmtId="3" fontId="5" fillId="4" borderId="54" applyAlignment="1" pivotButton="0" quotePrefix="0" xfId="0">
      <alignment horizontal="right" wrapText="1"/>
    </xf>
    <xf numFmtId="3" fontId="5" fillId="6" borderId="55" applyAlignment="1" pivotButton="0" quotePrefix="0" xfId="0">
      <alignment horizontal="right" wrapText="1"/>
    </xf>
    <xf numFmtId="0" fontId="5" fillId="6" borderId="55" applyAlignment="1" pivotButton="0" quotePrefix="0" xfId="0">
      <alignment horizontal="right" wrapText="1"/>
    </xf>
    <xf numFmtId="0" fontId="5" fillId="3" borderId="55" applyAlignment="1" pivotButton="0" quotePrefix="0" xfId="0">
      <alignment horizontal="right" wrapText="1"/>
    </xf>
    <xf numFmtId="3" fontId="5" fillId="3" borderId="55" applyAlignment="1" pivotButton="0" quotePrefix="0" xfId="0">
      <alignment horizontal="right" wrapText="1"/>
    </xf>
    <xf numFmtId="164" fontId="5" fillId="3" borderId="55" applyAlignment="1" pivotButton="0" quotePrefix="0" xfId="0">
      <alignment horizontal="right" wrapText="1"/>
    </xf>
    <xf numFmtId="164" fontId="5" fillId="3" borderId="56" applyAlignment="1" pivotButton="0" quotePrefix="0" xfId="0">
      <alignment horizontal="right" wrapText="1"/>
    </xf>
    <xf numFmtId="165" fontId="6" fillId="2" borderId="12" applyAlignment="1" pivotButton="0" quotePrefix="0" xfId="0">
      <alignment horizontal="center"/>
    </xf>
    <xf numFmtId="165" fontId="8" fillId="0" borderId="31" applyAlignment="1" pivotButton="0" quotePrefix="0" xfId="0">
      <alignment horizontal="center"/>
    </xf>
    <xf numFmtId="164" fontId="8" fillId="7" borderId="36" applyAlignment="1" pivotButton="0" quotePrefix="0" xfId="0">
      <alignment horizontal="center"/>
    </xf>
    <xf numFmtId="0" fontId="3" fillId="2" borderId="57" applyAlignment="1" pivotButton="0" quotePrefix="0" xfId="0">
      <alignment horizontal="center"/>
    </xf>
    <xf numFmtId="164" fontId="3" fillId="2" borderId="58" applyAlignment="1" pivotButton="0" quotePrefix="0" xfId="0">
      <alignment horizontal="center"/>
    </xf>
    <xf numFmtId="0" fontId="9" fillId="0" borderId="1" applyAlignment="1" pivotButton="0" quotePrefix="0" xfId="0">
      <alignment horizontal="left" wrapText="1"/>
    </xf>
    <xf numFmtId="164" fontId="9" fillId="0" borderId="1" applyAlignment="1" pivotButton="0" quotePrefix="0" xfId="0">
      <alignment horizontal="left" wrapText="1"/>
    </xf>
    <xf numFmtId="0" fontId="10" fillId="0" borderId="30" applyAlignment="1" pivotButton="0" quotePrefix="0" xfId="0">
      <alignment horizontal="center"/>
    </xf>
    <xf numFmtId="0" fontId="10" fillId="0" borderId="59" applyAlignment="1" pivotButton="0" quotePrefix="0" xfId="0">
      <alignment horizontal="center"/>
    </xf>
    <xf numFmtId="164" fontId="4" fillId="0" borderId="60" applyAlignment="1" pivotButton="0" quotePrefix="0" xfId="0">
      <alignment horizontal="left"/>
    </xf>
    <xf numFmtId="3" fontId="18" fillId="0" borderId="1" applyAlignment="1" pivotButton="0" quotePrefix="0" xfId="0">
      <alignment horizontal="center"/>
    </xf>
    <xf numFmtId="165" fontId="8" fillId="8" borderId="15" applyAlignment="1" pivotButton="0" quotePrefix="0" xfId="0">
      <alignment horizontal="center"/>
    </xf>
    <xf numFmtId="165" fontId="8" fillId="24" borderId="15" applyAlignment="1" pivotButton="0" quotePrefix="0" xfId="0">
      <alignment horizontal="center"/>
    </xf>
    <xf numFmtId="164" fontId="8" fillId="24" borderId="15" applyAlignment="1" pivotButton="0" quotePrefix="0" xfId="0">
      <alignment horizontal="center"/>
    </xf>
    <xf numFmtId="0" fontId="10" fillId="0" borderId="1" applyAlignment="1" pivotButton="0" quotePrefix="0" xfId="0">
      <alignment horizontal="center" wrapText="1"/>
    </xf>
    <xf numFmtId="0" fontId="19" fillId="0" borderId="1" applyAlignment="1" pivotButton="0" quotePrefix="0" xfId="0">
      <alignment horizontal="left" wrapText="1"/>
    </xf>
    <xf numFmtId="0" fontId="20" fillId="0" borderId="30" applyAlignment="1" pivotButton="0" quotePrefix="0" xfId="0">
      <alignment horizontal="center"/>
    </xf>
    <xf numFmtId="164" fontId="8" fillId="0" borderId="30" applyAlignment="1" pivotButton="0" quotePrefix="0" xfId="0">
      <alignment horizontal="center"/>
    </xf>
    <xf numFmtId="4" fontId="5" fillId="25" borderId="37" applyAlignment="1" pivotButton="0" quotePrefix="0" xfId="0">
      <alignment horizontal="center" wrapText="1"/>
    </xf>
    <xf numFmtId="0" fontId="5" fillId="4" borderId="15" applyAlignment="1" pivotButton="0" quotePrefix="0" xfId="0">
      <alignment horizontal="center" wrapText="1"/>
    </xf>
    <xf numFmtId="0" fontId="5" fillId="7" borderId="36" applyAlignment="1" pivotButton="0" quotePrefix="0" xfId="0">
      <alignment horizontal="left"/>
    </xf>
    <xf numFmtId="0" fontId="8" fillId="26" borderId="15" applyAlignment="1" pivotButton="0" quotePrefix="0" xfId="0">
      <alignment horizontal="center"/>
    </xf>
    <xf numFmtId="165" fontId="8" fillId="26" borderId="15" applyAlignment="1" pivotButton="0" quotePrefix="0" xfId="0">
      <alignment horizontal="center"/>
    </xf>
    <xf numFmtId="0" fontId="16" fillId="0" borderId="30" applyAlignment="1" pivotButton="0" quotePrefix="0" xfId="0">
      <alignment horizontal="center" wrapText="1"/>
    </xf>
    <xf numFmtId="0" fontId="5" fillId="7" borderId="12" applyAlignment="1" pivotButton="0" quotePrefix="0" xfId="0">
      <alignment horizontal="center"/>
    </xf>
    <xf numFmtId="3" fontId="0" fillId="0" borderId="0" applyAlignment="1" pivotButton="0" quotePrefix="0" xfId="0">
      <alignment horizontal="left" wrapText="1"/>
    </xf>
    <xf numFmtId="165" fontId="0" fillId="0" borderId="0" applyAlignment="1" pivotButton="0" quotePrefix="0" xfId="0">
      <alignment horizontal="right"/>
    </xf>
    <xf numFmtId="3" fontId="4" fillId="0" borderId="5" applyAlignment="1" pivotButton="0" quotePrefix="0" xfId="0">
      <alignment horizontal="left" wrapText="1"/>
    </xf>
    <xf numFmtId="3" fontId="2" fillId="0" borderId="1" applyAlignment="1" pivotButton="0" quotePrefix="0" xfId="0">
      <alignment horizontal="left" wrapText="1"/>
    </xf>
    <xf numFmtId="3" fontId="4" fillId="0" borderId="19" applyAlignment="1" pivotButton="0" quotePrefix="0" xfId="0">
      <alignment horizontal="left" wrapText="1"/>
    </xf>
    <xf numFmtId="3" fontId="5" fillId="4" borderId="25" applyAlignment="1" pivotButton="0" quotePrefix="0" xfId="0">
      <alignment horizontal="center" wrapText="1"/>
    </xf>
    <xf numFmtId="165" fontId="6" fillId="12" borderId="12" applyAlignment="1" pivotButton="0" quotePrefix="0" xfId="0">
      <alignment horizontal="center"/>
    </xf>
    <xf numFmtId="164" fontId="8" fillId="27" borderId="15" applyAlignment="1" pivotButton="0" quotePrefix="0" xfId="0">
      <alignment horizontal="center"/>
    </xf>
    <xf numFmtId="165" fontId="8" fillId="27" borderId="15" applyAlignment="1" pivotButton="0" quotePrefix="0" xfId="0">
      <alignment horizontal="center"/>
    </xf>
    <xf numFmtId="164" fontId="5" fillId="0" borderId="12" applyAlignment="1" pivotButton="0" quotePrefix="0" xfId="0">
      <alignment horizontal="center"/>
    </xf>
    <xf numFmtId="165" fontId="5" fillId="10" borderId="36" applyAlignment="1" pivotButton="0" quotePrefix="0" xfId="0">
      <alignment horizontal="left"/>
    </xf>
    <xf numFmtId="0" fontId="21" fillId="0" borderId="1" applyAlignment="1" pivotButton="0" quotePrefix="0" xfId="0">
      <alignment horizontal="center"/>
    </xf>
    <xf numFmtId="165" fontId="5" fillId="19" borderId="15" applyAlignment="1" pivotButton="0" quotePrefix="0" xfId="0">
      <alignment horizontal="center"/>
    </xf>
    <xf numFmtId="3" fontId="0" fillId="0" borderId="0" applyAlignment="1" pivotButton="0" quotePrefix="0" xfId="0">
      <alignment horizontal="left" wrapText="1"/>
    </xf>
    <xf numFmtId="165" fontId="0" fillId="0" borderId="0" applyAlignment="1" pivotButton="0" quotePrefix="0" xfId="0">
      <alignment horizontal="right"/>
    </xf>
    <xf numFmtId="0" fontId="2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1" fillId="6" borderId="36" applyAlignment="1" pivotButton="0" quotePrefix="0" xfId="0">
      <alignment horizontal="left"/>
    </xf>
    <xf numFmtId="165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23" fillId="2" borderId="15" applyAlignment="1" pivotButton="0" quotePrefix="0" xfId="0">
      <alignment horizontal="left"/>
    </xf>
    <xf numFmtId="165" fontId="4" fillId="0" borderId="14" applyAlignment="1" pivotButton="0" quotePrefix="0" xfId="0">
      <alignment horizontal="left"/>
    </xf>
    <xf numFmtId="0" fontId="4" fillId="0" borderId="14" applyAlignment="1" pivotButton="0" quotePrefix="0" xfId="0">
      <alignment horizontal="left"/>
    </xf>
    <xf numFmtId="0" fontId="4" fillId="0" borderId="29" applyAlignment="1" pivotButton="0" quotePrefix="0" xfId="0">
      <alignment horizontal="left"/>
    </xf>
    <xf numFmtId="0" fontId="1" fillId="4" borderId="15" applyAlignment="1" pivotButton="0" quotePrefix="0" xfId="0">
      <alignment horizontal="right"/>
    </xf>
    <xf numFmtId="165" fontId="1" fillId="4" borderId="15" applyAlignment="1" pivotButton="0" quotePrefix="0" xfId="0">
      <alignment horizontal="center"/>
    </xf>
    <xf numFmtId="0" fontId="1" fillId="4" borderId="15" applyAlignment="1" pivotButton="0" quotePrefix="0" xfId="0">
      <alignment horizontal="center"/>
    </xf>
    <xf numFmtId="165" fontId="1" fillId="0" borderId="15" applyAlignment="1" pivotButton="0" quotePrefix="0" xfId="0">
      <alignment horizontal="center"/>
    </xf>
    <xf numFmtId="164" fontId="1" fillId="0" borderId="15" applyAlignment="1" pivotButton="0" quotePrefix="0" xfId="0">
      <alignment horizontal="center"/>
    </xf>
    <xf numFmtId="0" fontId="1" fillId="4" borderId="15" applyAlignment="1" pivotButton="0" quotePrefix="0" xfId="0">
      <alignment horizontal="left"/>
    </xf>
    <xf numFmtId="0" fontId="1" fillId="0" borderId="15" applyAlignment="1" pivotButton="0" quotePrefix="0" xfId="0">
      <alignment horizontal="left"/>
    </xf>
    <xf numFmtId="0" fontId="1" fillId="0" borderId="1" applyAlignment="1" pivotButton="0" quotePrefix="0" xfId="0">
      <alignment horizontal="right"/>
    </xf>
    <xf numFmtId="0" fontId="8" fillId="0" borderId="61" applyAlignment="1" pivotButton="0" quotePrefix="0" xfId="0">
      <alignment horizontal="right"/>
    </xf>
    <xf numFmtId="0" fontId="24" fillId="0" borderId="62" applyAlignment="1" pivotButton="0" quotePrefix="0" xfId="0">
      <alignment horizontal="center"/>
    </xf>
    <xf numFmtId="0" fontId="1" fillId="5" borderId="15" applyAlignment="1" pivotButton="0" quotePrefix="0" xfId="0">
      <alignment horizontal="right"/>
    </xf>
    <xf numFmtId="0" fontId="1" fillId="5" borderId="15" applyAlignment="1" pivotButton="0" quotePrefix="0" xfId="0">
      <alignment horizontal="center"/>
    </xf>
    <xf numFmtId="0" fontId="1" fillId="5" borderId="32" applyAlignment="1" pivotButton="0" quotePrefix="0" xfId="0">
      <alignment horizontal="center"/>
    </xf>
    <xf numFmtId="0" fontId="23" fillId="2" borderId="15" applyAlignment="1" pivotButton="0" quotePrefix="0" xfId="0">
      <alignment horizontal="right" wrapText="1"/>
    </xf>
    <xf numFmtId="0" fontId="23" fillId="2" borderId="15" applyAlignment="1" pivotButton="0" quotePrefix="0" xfId="0">
      <alignment horizontal="center"/>
    </xf>
    <xf numFmtId="0" fontId="23" fillId="2" borderId="12" applyAlignment="1" pivotButton="0" quotePrefix="0" xfId="0">
      <alignment horizontal="center"/>
    </xf>
    <xf numFmtId="0" fontId="1" fillId="0" borderId="15" applyAlignment="1" pivotButton="0" quotePrefix="0" xfId="0">
      <alignment horizontal="right" wrapText="1"/>
    </xf>
    <xf numFmtId="0" fontId="1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right"/>
    </xf>
    <xf numFmtId="0" fontId="1" fillId="28" borderId="15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5" fillId="0" borderId="1" applyAlignment="1" pivotButton="0" quotePrefix="0" xfId="0">
      <alignment horizontal="left"/>
    </xf>
    <xf numFmtId="0" fontId="24" fillId="0" borderId="63" applyAlignment="1" pivotButton="0" quotePrefix="0" xfId="0">
      <alignment horizontal="center"/>
    </xf>
    <xf numFmtId="0" fontId="4" fillId="0" borderId="35" applyAlignment="1" pivotButton="0" quotePrefix="0" xfId="0">
      <alignment horizontal="left"/>
    </xf>
    <xf numFmtId="0" fontId="23" fillId="2" borderId="64" applyAlignment="1" pivotButton="0" quotePrefix="0" xfId="0">
      <alignment horizontal="right" wrapText="1"/>
    </xf>
    <xf numFmtId="0" fontId="26" fillId="2" borderId="15" applyAlignment="1" pivotButton="0" quotePrefix="0" xfId="0">
      <alignment horizontal="center"/>
    </xf>
    <xf numFmtId="0" fontId="1" fillId="0" borderId="11" applyAlignment="1" pivotButton="0" quotePrefix="0" xfId="0">
      <alignment horizontal="right"/>
    </xf>
    <xf numFmtId="0" fontId="1" fillId="7" borderId="12" applyAlignment="1" pivotButton="0" quotePrefix="0" xfId="0">
      <alignment horizontal="left"/>
    </xf>
    <xf numFmtId="0" fontId="27" fillId="0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5" borderId="15" applyAlignment="1" pivotButton="0" quotePrefix="0" xfId="0">
      <alignment horizontal="left"/>
    </xf>
    <xf numFmtId="0" fontId="1" fillId="5" borderId="12" applyAlignment="1" pivotButton="0" quotePrefix="0" xfId="0">
      <alignment horizontal="left"/>
    </xf>
    <xf numFmtId="0" fontId="23" fillId="2" borderId="11" applyAlignment="1" pivotButton="0" quotePrefix="0" xfId="0">
      <alignment horizontal="right" wrapText="1"/>
    </xf>
    <xf numFmtId="0" fontId="1" fillId="7" borderId="15" applyAlignment="1" pivotButton="0" quotePrefix="0" xfId="0">
      <alignment horizontal="left"/>
    </xf>
    <xf numFmtId="0" fontId="23" fillId="0" borderId="15" applyAlignment="1" pivotButton="0" quotePrefix="0" xfId="0">
      <alignment horizontal="center"/>
    </xf>
    <xf numFmtId="0" fontId="23" fillId="0" borderId="12" applyAlignment="1" pivotButton="0" quotePrefix="0" xfId="0">
      <alignment horizontal="center"/>
    </xf>
    <xf numFmtId="0" fontId="1" fillId="0" borderId="11" applyAlignment="1" pivotButton="0" quotePrefix="0" xfId="0">
      <alignment horizontal="right" wrapText="1"/>
    </xf>
    <xf numFmtId="0" fontId="23" fillId="5" borderId="4" applyAlignment="1" pivotButton="0" quotePrefix="0" xfId="0">
      <alignment horizontal="left"/>
    </xf>
    <xf numFmtId="0" fontId="23" fillId="2" borderId="13" applyAlignment="1" pivotButton="0" quotePrefix="0" xfId="0">
      <alignment horizontal="right"/>
    </xf>
    <xf numFmtId="0" fontId="1" fillId="29" borderId="15" applyAlignment="1" pivotButton="0" quotePrefix="0" xfId="0">
      <alignment horizontal="left"/>
    </xf>
    <xf numFmtId="0" fontId="1" fillId="29" borderId="12" applyAlignment="1" pivotButton="0" quotePrefix="0" xfId="0">
      <alignment horizontal="left"/>
    </xf>
    <xf numFmtId="0" fontId="1" fillId="0" borderId="65" applyAlignment="1" pivotButton="0" quotePrefix="0" xfId="0">
      <alignment horizontal="right"/>
    </xf>
    <xf numFmtId="0" fontId="1" fillId="0" borderId="39" applyAlignment="1" pivotButton="0" quotePrefix="0" xfId="0">
      <alignment horizontal="right"/>
    </xf>
    <xf numFmtId="0" fontId="1" fillId="29" borderId="22" applyAlignment="1" pivotButton="0" quotePrefix="0" xfId="0">
      <alignment horizontal="left"/>
    </xf>
    <xf numFmtId="0" fontId="1" fillId="7" borderId="23" applyAlignment="1" pivotButton="0" quotePrefix="0" xfId="0">
      <alignment horizontal="left"/>
    </xf>
    <xf numFmtId="0" fontId="24" fillId="0" borderId="1" applyAlignment="1" pivotButton="0" quotePrefix="0" xfId="0">
      <alignment horizontal="right"/>
    </xf>
    <xf numFmtId="0" fontId="24" fillId="7" borderId="36" applyAlignment="1" pivotButton="0" quotePrefix="0" xfId="0">
      <alignment horizontal="left"/>
    </xf>
    <xf numFmtId="0" fontId="3" fillId="5" borderId="36" applyAlignment="1" pivotButton="0" quotePrefix="0" xfId="0">
      <alignment horizontal="left"/>
    </xf>
    <xf numFmtId="0" fontId="28" fillId="5" borderId="66" applyAlignment="1" pivotButton="0" quotePrefix="0" xfId="0">
      <alignment horizontal="left"/>
    </xf>
    <xf numFmtId="0" fontId="1" fillId="4" borderId="32" applyAlignment="1" pivotButton="0" quotePrefix="0" xfId="0">
      <alignment horizontal="left"/>
    </xf>
    <xf numFmtId="0" fontId="24" fillId="7" borderId="32" applyAlignment="1" pivotButton="0" quotePrefix="0" xfId="0">
      <alignment horizontal="left"/>
    </xf>
    <xf numFmtId="0" fontId="1" fillId="7" borderId="15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1" fillId="4" borderId="32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0" fillId="0" borderId="35" pivotButton="0" quotePrefix="0" xfId="0"/>
    <xf numFmtId="0" fontId="0" fillId="0" borderId="5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0" borderId="74" pivotButton="0" quotePrefix="0" xfId="0"/>
    <xf numFmtId="0" fontId="0" fillId="0" borderId="75" pivotButton="0" quotePrefix="0" xfId="0"/>
    <xf numFmtId="0" fontId="0" fillId="0" borderId="14" pivotButton="0" quotePrefix="0" xfId="0"/>
    <xf numFmtId="0" fontId="0" fillId="0" borderId="78" pivotButton="0" quotePrefix="0" xfId="0"/>
    <xf numFmtId="0" fontId="0" fillId="0" borderId="29" pivotButton="0" quotePrefix="0" xfId="0"/>
    <xf numFmtId="0" fontId="0" fillId="0" borderId="3" pivotButton="0" quotePrefix="0" xfId="0"/>
    <xf numFmtId="0" fontId="0" fillId="0" borderId="81" pivotButton="0" quotePrefix="0" xfId="0"/>
    <xf numFmtId="0" fontId="0" fillId="0" borderId="82" pivotButton="0" quotePrefix="0" xfId="0"/>
    <xf numFmtId="0" fontId="0" fillId="0" borderId="19" pivotButton="0" quotePrefix="0" xfId="0"/>
    <xf numFmtId="0" fontId="0" fillId="0" borderId="42" pivotButton="0" quotePrefix="0" xfId="0"/>
    <xf numFmtId="0" fontId="0" fillId="0" borderId="60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L83"/>
  <sheetViews>
    <sheetView workbookViewId="0">
      <pane xSplit="0" ySplit="2" topLeftCell="A3" activePane="bottomLeft" state="frozen"/>
      <selection activeCell="A1" sqref="A1"/>
    </sheetView>
  </sheetViews>
  <sheetFormatPr baseColWidth="8" defaultRowHeight="15"/>
  <cols>
    <col width="59.29071428571429" bestFit="1" customWidth="1" style="359" min="1" max="1"/>
    <col width="7.719285714285714" bestFit="1" customWidth="1" style="359" min="2" max="2"/>
    <col width="7.719285714285714" bestFit="1" customWidth="1" style="159" min="3" max="3"/>
    <col width="7.719285714285714" bestFit="1" customWidth="1" style="159" min="4" max="4"/>
    <col width="7.719285714285714" bestFit="1" customWidth="1" style="159" min="5" max="5"/>
    <col width="7.719285714285714" bestFit="1" customWidth="1" style="159" min="6" max="6"/>
    <col width="7.719285714285714" bestFit="1" customWidth="1" style="159" min="7" max="7"/>
    <col width="7.719285714285714" bestFit="1" customWidth="1" style="159" min="8" max="8"/>
    <col width="8.005000000000001" bestFit="1" customWidth="1" style="159" min="9" max="9"/>
    <col width="38.71928571428572" bestFit="1" customWidth="1" style="159" min="10" max="10"/>
    <col width="38.71928571428572" bestFit="1" customWidth="1" style="159" min="11" max="11"/>
    <col width="38.71928571428572" bestFit="1" customWidth="1" style="159" min="12" max="12"/>
  </cols>
  <sheetData>
    <row r="1" ht="30" customHeight="1">
      <c r="A1" s="296" t="inlineStr">
        <is>
          <t>WEEKLY MANAGEMENT CHECKLIST</t>
        </is>
      </c>
      <c r="I1" s="159" t="n"/>
      <c r="J1" s="326" t="n"/>
      <c r="K1" s="326" t="n"/>
      <c r="L1" s="326" t="n"/>
    </row>
    <row r="2" ht="20.25" customHeight="1">
      <c r="A2" s="313" t="inlineStr">
        <is>
          <t>WEEK OF:</t>
        </is>
      </c>
      <c r="B2" s="327" t="n"/>
      <c r="H2" s="360" t="n"/>
      <c r="I2" s="159" t="n"/>
      <c r="J2" s="326" t="n"/>
      <c r="K2" s="326" t="n"/>
      <c r="L2" s="326" t="n"/>
    </row>
    <row r="3" ht="27.75" customHeight="1">
      <c r="A3" s="329" t="inlineStr">
        <is>
          <t>DAILY OPENING TASKS
Manager to Initial Box</t>
        </is>
      </c>
      <c r="B3" s="319" t="inlineStr">
        <is>
          <t>M</t>
        </is>
      </c>
      <c r="C3" s="319" t="inlineStr">
        <is>
          <t>T</t>
        </is>
      </c>
      <c r="D3" s="319" t="inlineStr">
        <is>
          <t>W</t>
        </is>
      </c>
      <c r="E3" s="319" t="inlineStr">
        <is>
          <t>T</t>
        </is>
      </c>
      <c r="F3" s="319" t="inlineStr">
        <is>
          <t>F</t>
        </is>
      </c>
      <c r="G3" s="319" t="inlineStr">
        <is>
          <t>S</t>
        </is>
      </c>
      <c r="H3" s="320" t="inlineStr">
        <is>
          <t>S</t>
        </is>
      </c>
      <c r="I3" s="159" t="n"/>
      <c r="J3" s="330" t="inlineStr">
        <is>
          <t>Sabrinna</t>
        </is>
      </c>
      <c r="K3" s="330" t="inlineStr">
        <is>
          <t>Judy</t>
        </is>
      </c>
      <c r="L3" s="330" t="inlineStr">
        <is>
          <t>Brandy</t>
        </is>
      </c>
    </row>
    <row r="4" ht="27.75" customHeight="1">
      <c r="A4" s="331" t="inlineStr">
        <is>
          <t>Read Past Day Closing Mgmt Email + Review MBX Outlook Emails</t>
        </is>
      </c>
      <c r="B4" s="311" t="n"/>
      <c r="C4" s="311" t="n"/>
      <c r="D4" s="311" t="n"/>
      <c r="E4" s="311" t="n"/>
      <c r="F4" s="311" t="n"/>
      <c r="G4" s="311" t="n"/>
      <c r="H4" s="332" t="n"/>
      <c r="I4" s="1" t="n"/>
      <c r="J4" s="159" t="n"/>
      <c r="K4" s="159" t="n"/>
      <c r="L4" s="159" t="n"/>
    </row>
    <row r="5" ht="27.75" customHeight="1">
      <c r="A5" s="333" t="inlineStr">
        <is>
          <t>Check Yoobic Tasks + Mark As "In Progress" Or "Complete"</t>
        </is>
      </c>
      <c r="B5" s="311" t="n"/>
      <c r="C5" s="311" t="n"/>
      <c r="D5" s="311" t="n"/>
      <c r="E5" s="311" t="n"/>
      <c r="F5" s="311" t="n"/>
      <c r="G5" s="311" t="n"/>
      <c r="H5" s="332" t="n"/>
      <c r="I5" s="159" t="n"/>
      <c r="J5" s="159" t="n"/>
      <c r="K5" s="159" t="n"/>
      <c r="L5" s="159" t="n"/>
    </row>
    <row r="6" ht="27.75" customHeight="1">
      <c r="A6" s="331" t="inlineStr">
        <is>
          <t>Review And Resolve Timecard Exceptions In Kronos</t>
        </is>
      </c>
      <c r="B6" s="311" t="n"/>
      <c r="C6" s="311" t="n"/>
      <c r="D6" s="311" t="n"/>
      <c r="E6" s="311" t="n"/>
      <c r="F6" s="311" t="n"/>
      <c r="G6" s="311" t="n"/>
      <c r="H6" s="334" t="n"/>
      <c r="I6" s="159" t="n"/>
      <c r="J6" s="159" t="n"/>
      <c r="K6" s="159" t="n"/>
      <c r="L6" s="159" t="n"/>
    </row>
    <row r="7" hidden="1" ht="17.25" customHeight="1">
      <c r="A7" s="331" t="inlineStr">
        <is>
          <t>Print + Post Comp Tree / Tableau Dashboard</t>
        </is>
      </c>
      <c r="B7" s="311" t="n"/>
      <c r="C7" s="311" t="n"/>
      <c r="D7" s="311" t="n"/>
      <c r="E7" s="311" t="n"/>
      <c r="F7" s="311" t="n"/>
      <c r="G7" s="311" t="n"/>
      <c r="H7" s="334" t="n"/>
      <c r="I7" s="159" t="n"/>
      <c r="J7" s="159" t="n"/>
      <c r="K7" s="159" t="n"/>
      <c r="L7" s="159" t="n"/>
    </row>
    <row r="8" hidden="1" ht="17.25" customHeight="1">
      <c r="A8" s="331" t="inlineStr">
        <is>
          <t>Update Workbook 2.0 On Previous Day Results</t>
        </is>
      </c>
      <c r="B8" s="311" t="n"/>
      <c r="C8" s="311" t="n"/>
      <c r="D8" s="311" t="n"/>
      <c r="E8" s="311" t="n"/>
      <c r="F8" s="311" t="n"/>
      <c r="G8" s="311" t="n"/>
      <c r="H8" s="334" t="n"/>
      <c r="I8" s="159" t="n"/>
      <c r="J8" s="159" t="n"/>
      <c r="K8" s="159" t="n"/>
      <c r="L8" s="159" t="n"/>
    </row>
    <row r="9" ht="27.75" customHeight="1">
      <c r="A9" s="331" t="inlineStr">
        <is>
          <t>Update CEL Tracker In Workbook 2.0 + Write Chat-In Topics</t>
        </is>
      </c>
      <c r="B9" s="311" t="n"/>
      <c r="C9" s="311" t="n"/>
      <c r="D9" s="311" t="n"/>
      <c r="E9" s="311" t="n"/>
      <c r="F9" s="311" t="n"/>
      <c r="G9" s="311" t="n"/>
      <c r="H9" s="334" t="n"/>
      <c r="I9" s="159" t="n"/>
      <c r="J9" s="159" t="n"/>
      <c r="K9" s="159" t="n"/>
      <c r="L9" s="159" t="n"/>
    </row>
    <row r="10" ht="27.75" customHeight="1">
      <c r="A10" s="331" t="inlineStr">
        <is>
          <t xml:space="preserve">Count Safe Using Safe Count + Complete Safe Over/Short Log </t>
        </is>
      </c>
      <c r="B10" s="311" t="n"/>
      <c r="C10" s="311" t="n"/>
      <c r="D10" s="311" t="n"/>
      <c r="E10" s="311" t="n"/>
      <c r="F10" s="311" t="n"/>
      <c r="G10" s="311" t="n"/>
      <c r="H10" s="334" t="n"/>
      <c r="I10" s="1" t="n"/>
      <c r="J10" s="159" t="n"/>
      <c r="K10" s="159" t="n"/>
      <c r="L10" s="159" t="n"/>
    </row>
    <row r="11" ht="27.75" customHeight="1">
      <c r="A11" s="331" t="inlineStr">
        <is>
          <t>Open Store In Xstore &amp; Open Registers</t>
        </is>
      </c>
      <c r="B11" s="311" t="n"/>
      <c r="C11" s="311" t="n"/>
      <c r="D11" s="311" t="n"/>
      <c r="E11" s="311" t="n"/>
      <c r="F11" s="311" t="n"/>
      <c r="G11" s="311" t="n"/>
      <c r="H11" s="334" t="n"/>
      <c r="I11" s="159" t="n"/>
      <c r="J11" s="159" t="n"/>
      <c r="K11" s="159" t="n"/>
      <c r="L11" s="159" t="n"/>
    </row>
    <row r="12" ht="27.75" customHeight="1">
      <c r="A12" s="331" t="inlineStr">
        <is>
          <t xml:space="preserve">Complete Daily RFID Stocktake </t>
        </is>
      </c>
      <c r="B12" s="311" t="n"/>
      <c r="C12" s="311" t="n"/>
      <c r="D12" s="311" t="n"/>
      <c r="E12" s="311" t="n"/>
      <c r="F12" s="311" t="n"/>
      <c r="G12" s="311" t="n"/>
      <c r="H12" s="334" t="n"/>
      <c r="I12" s="159" t="n"/>
      <c r="J12" s="159" t="n"/>
      <c r="K12" s="159" t="n"/>
      <c r="L12" s="159" t="n"/>
    </row>
    <row r="13" ht="27.75" customHeight="1">
      <c r="A13" s="331" t="inlineStr">
        <is>
          <t xml:space="preserve">Validate All Promo/Marketing Sigange Is Correct </t>
        </is>
      </c>
      <c r="B13" s="311" t="n"/>
      <c r="C13" s="311" t="n"/>
      <c r="D13" s="335" t="n"/>
      <c r="E13" s="335" t="n"/>
      <c r="F13" s="335" t="n"/>
      <c r="G13" s="335" t="n"/>
      <c r="H13" s="336" t="n"/>
      <c r="I13" s="159" t="n"/>
      <c r="J13" s="159" t="n"/>
      <c r="K13" s="159" t="n"/>
      <c r="L13" s="159" t="n"/>
    </row>
    <row r="14" ht="27.75" customHeight="1">
      <c r="A14" s="331" t="inlineStr">
        <is>
          <t xml:space="preserve">Chat In Opening Team </t>
        </is>
      </c>
      <c r="B14" s="311" t="n"/>
      <c r="C14" s="311" t="n"/>
      <c r="D14" s="311" t="n"/>
      <c r="E14" s="311" t="n"/>
      <c r="F14" s="311" t="n"/>
      <c r="G14" s="311" t="n"/>
      <c r="H14" s="334" t="n"/>
      <c r="I14" s="159" t="n"/>
      <c r="J14" s="159" t="n"/>
      <c r="K14" s="159" t="n"/>
      <c r="L14" s="159" t="n"/>
    </row>
    <row r="15" ht="27.75" customHeight="1">
      <c r="A15" s="331" t="inlineStr">
        <is>
          <t>DUST and WINDEX WINDOWNS AND MIRRORS</t>
        </is>
      </c>
      <c r="B15" s="311" t="n"/>
      <c r="C15" s="311" t="n"/>
      <c r="D15" s="311" t="n"/>
      <c r="E15" s="311" t="n"/>
      <c r="F15" s="311" t="n"/>
      <c r="G15" s="311" t="n"/>
      <c r="H15" s="334" t="n"/>
      <c r="I15" s="159" t="n"/>
      <c r="J15" s="159" t="n"/>
      <c r="K15" s="159" t="n"/>
      <c r="L15" s="159" t="n"/>
    </row>
    <row r="16" ht="27.75" customHeight="1">
      <c r="A16" s="331" t="inlineStr">
        <is>
          <t>Fill Accessories</t>
        </is>
      </c>
      <c r="B16" s="311" t="n"/>
      <c r="C16" s="311" t="n"/>
      <c r="D16" s="311" t="n"/>
      <c r="E16" s="311" t="n"/>
      <c r="F16" s="311" t="n"/>
      <c r="G16" s="311" t="n"/>
      <c r="H16" s="334" t="n"/>
      <c r="I16" s="159" t="n"/>
      <c r="J16" s="159" t="n"/>
      <c r="K16" s="159" t="n"/>
      <c r="L16" s="159" t="n"/>
    </row>
    <row r="17" hidden="1" ht="17.25" customHeight="1">
      <c r="A17" s="331" t="inlineStr">
        <is>
          <t>Manager Sign Off On Stylist Opening Checklist</t>
        </is>
      </c>
      <c r="B17" s="311" t="n"/>
      <c r="C17" s="311" t="n"/>
      <c r="D17" s="311" t="n"/>
      <c r="E17" s="311" t="n"/>
      <c r="F17" s="311" t="n"/>
      <c r="G17" s="311" t="n"/>
      <c r="H17" s="334" t="n"/>
      <c r="I17" s="159" t="n"/>
      <c r="J17" s="159" t="n"/>
      <c r="K17" s="159" t="n"/>
      <c r="L17" s="159" t="n"/>
    </row>
    <row r="18" ht="27.75" customHeight="1">
      <c r="A18" s="337" t="inlineStr">
        <is>
          <t>DAILY MORNING/MID-DAY TASKS
Manager to Initial Box</t>
        </is>
      </c>
      <c r="B18" s="319" t="inlineStr">
        <is>
          <t>M</t>
        </is>
      </c>
      <c r="C18" s="319" t="inlineStr">
        <is>
          <t>T</t>
        </is>
      </c>
      <c r="D18" s="319" t="inlineStr">
        <is>
          <t>W</t>
        </is>
      </c>
      <c r="E18" s="319" t="inlineStr">
        <is>
          <t>T</t>
        </is>
      </c>
      <c r="F18" s="319" t="inlineStr">
        <is>
          <t>F</t>
        </is>
      </c>
      <c r="G18" s="319" t="inlineStr">
        <is>
          <t>S</t>
        </is>
      </c>
      <c r="H18" s="320" t="inlineStr">
        <is>
          <t>S</t>
        </is>
      </c>
      <c r="I18" s="159" t="n"/>
      <c r="J18" s="159" t="n"/>
      <c r="K18" s="159" t="n"/>
      <c r="L18" s="159" t="n"/>
    </row>
    <row r="19" hidden="1" ht="17.25" customHeight="1">
      <c r="A19" s="331" t="inlineStr">
        <is>
          <t>Complete Daily Damages &amp; Defectives</t>
        </is>
      </c>
      <c r="B19" s="311" t="n"/>
      <c r="C19" s="311" t="n"/>
      <c r="D19" s="311" t="n"/>
      <c r="E19" s="311" t="n"/>
      <c r="F19" s="311" t="n"/>
      <c r="G19" s="311" t="n"/>
      <c r="H19" s="334" t="n"/>
      <c r="I19" s="159" t="n"/>
      <c r="J19" s="159" t="n"/>
      <c r="K19" s="159" t="n"/>
      <c r="L19" s="159" t="n"/>
    </row>
    <row r="20" ht="27.75" customHeight="1">
      <c r="A20" s="331" t="inlineStr">
        <is>
          <t>Complete Reticketing (As Needed)</t>
        </is>
      </c>
      <c r="B20" s="311" t="n"/>
      <c r="C20" s="311" t="n"/>
      <c r="D20" s="311" t="n"/>
      <c r="E20" s="311" t="n"/>
      <c r="F20" s="311" t="n"/>
      <c r="G20" s="311" t="n"/>
      <c r="H20" s="334" t="n"/>
      <c r="I20" s="159" t="n"/>
      <c r="J20" s="159" t="n"/>
      <c r="K20" s="159" t="n"/>
      <c r="L20" s="159" t="n"/>
    </row>
    <row r="21" ht="27.75" customHeight="1">
      <c r="A21" s="331" t="inlineStr">
        <is>
          <t xml:space="preserve">SFS: Process SFS Orders </t>
        </is>
      </c>
      <c r="B21" s="311" t="n"/>
      <c r="C21" s="311" t="n"/>
      <c r="D21" s="311" t="n"/>
      <c r="E21" s="311" t="n"/>
      <c r="F21" s="311" t="n"/>
      <c r="G21" s="311" t="n"/>
      <c r="H21" s="334" t="n"/>
      <c r="I21" s="159" t="n"/>
      <c r="J21" s="159" t="n"/>
      <c r="K21" s="159" t="n"/>
      <c r="L21" s="159" t="n"/>
    </row>
    <row r="22" ht="27.75" customHeight="1">
      <c r="A22" s="331" t="inlineStr">
        <is>
          <t>Ensure Store Team Are Pulling Refill Suggestions &amp; 'Move' To Sales Floor</t>
        </is>
      </c>
      <c r="B22" s="338" t="n"/>
      <c r="C22" s="338" t="n"/>
      <c r="D22" s="338" t="n"/>
      <c r="E22" s="338" t="n"/>
      <c r="F22" s="338" t="n"/>
      <c r="G22" s="339" t="n"/>
      <c r="H22" s="340" t="n"/>
      <c r="I22" s="159" t="n"/>
      <c r="J22" s="159" t="n"/>
      <c r="K22" s="159" t="n"/>
      <c r="L22" s="159" t="n"/>
    </row>
    <row r="23" ht="27.75" customHeight="1">
      <c r="A23" s="337" t="inlineStr">
        <is>
          <t>DAILY CLOSING TASKS
Manager to Initial Box</t>
        </is>
      </c>
      <c r="B23" s="319" t="inlineStr">
        <is>
          <t>M</t>
        </is>
      </c>
      <c r="C23" s="319" t="inlineStr">
        <is>
          <t>T</t>
        </is>
      </c>
      <c r="D23" s="319" t="inlineStr">
        <is>
          <t>W</t>
        </is>
      </c>
      <c r="E23" s="319" t="inlineStr">
        <is>
          <t>T</t>
        </is>
      </c>
      <c r="F23" s="319" t="inlineStr">
        <is>
          <t>F</t>
        </is>
      </c>
      <c r="G23" s="319" t="inlineStr">
        <is>
          <t>S</t>
        </is>
      </c>
      <c r="H23" s="320" t="inlineStr">
        <is>
          <t>S</t>
        </is>
      </c>
      <c r="I23" s="159" t="n"/>
      <c r="J23" s="159" t="n"/>
      <c r="K23" s="159" t="n"/>
      <c r="L23" s="159" t="n"/>
    </row>
    <row r="24" ht="27.75" customHeight="1">
      <c r="A24" s="321" t="inlineStr">
        <is>
          <t>Deep Clean Cashwrap, Registers And Breakroom - Daily</t>
        </is>
      </c>
      <c r="B24" s="322" t="n"/>
      <c r="C24" s="322" t="n"/>
      <c r="D24" s="322" t="n"/>
      <c r="E24" s="322" t="n"/>
      <c r="F24" s="322" t="n"/>
      <c r="G24" s="322" t="n"/>
      <c r="H24" s="322" t="n"/>
      <c r="I24" s="159" t="n"/>
      <c r="J24" s="159" t="n"/>
      <c r="K24" s="159" t="n"/>
      <c r="L24" s="159" t="n"/>
    </row>
    <row r="25" hidden="1" ht="17.25" customHeight="1">
      <c r="A25" s="321" t="inlineStr">
        <is>
          <t>Morning Sanitize High Touch Surfaces 
Doorknobs, Fitting Room Doors And Rooms, Stockroom Doors, Phone, POS Keyboards</t>
        </is>
      </c>
      <c r="B25" s="322" t="n"/>
      <c r="C25" s="322" t="n"/>
      <c r="D25" s="322" t="n"/>
      <c r="E25" s="322" t="n"/>
      <c r="F25" s="322" t="n"/>
      <c r="G25" s="322" t="n"/>
      <c r="H25" s="322" t="n"/>
      <c r="I25" s="159" t="n"/>
      <c r="J25" s="159" t="n"/>
      <c r="K25" s="159" t="n"/>
      <c r="L25" s="159" t="n"/>
    </row>
    <row r="26" hidden="1" ht="17.25" customHeight="1">
      <c r="A26" s="321" t="inlineStr">
        <is>
          <t>Mid Day Sanitize High Touch Surfaces 
Doorknobs, Fitting Room Doors And Rooms, Stockroom Doors, Phone, POS Keyboards</t>
        </is>
      </c>
      <c r="B26" s="322" t="n"/>
      <c r="C26" s="322" t="n"/>
      <c r="D26" s="322" t="n"/>
      <c r="E26" s="322" t="n"/>
      <c r="F26" s="322" t="n"/>
      <c r="G26" s="322" t="n"/>
      <c r="H26" s="322" t="n"/>
      <c r="I26" s="159" t="n"/>
      <c r="J26" s="159" t="n"/>
      <c r="K26" s="159" t="n"/>
      <c r="L26" s="159" t="n"/>
    </row>
    <row r="27" ht="33" customHeight="1">
      <c r="A27" s="321" t="inlineStr">
        <is>
          <t>Clean Bathroom
Replace Toilet Paper, Paper Towels, Wipe Surfaces, Windex Mirrors, Sweep</t>
        </is>
      </c>
      <c r="B27" s="322" t="n"/>
      <c r="C27" s="322" t="n"/>
      <c r="D27" s="322" t="n"/>
      <c r="E27" s="322" t="n"/>
      <c r="F27" s="322" t="n"/>
      <c r="G27" s="322" t="n"/>
      <c r="H27" s="322" t="n"/>
      <c r="I27" s="159" t="n"/>
      <c r="J27" s="159" t="n"/>
      <c r="K27" s="159" t="n"/>
      <c r="L27" s="159" t="n"/>
    </row>
    <row r="28" ht="27.75" customHeight="1">
      <c r="A28" s="321" t="inlineStr">
        <is>
          <t xml:space="preserve">Mannequins Are Outfitted 100% (Accessories, Shoes, Apparel). </t>
        </is>
      </c>
      <c r="B28" s="322" t="n"/>
      <c r="C28" s="322" t="n"/>
      <c r="D28" s="322" t="n"/>
      <c r="E28" s="322" t="n"/>
      <c r="F28" s="322" t="n"/>
      <c r="G28" s="322" t="n"/>
      <c r="H28" s="322" t="n"/>
      <c r="I28" s="159" t="n"/>
      <c r="J28" s="159" t="n"/>
      <c r="K28" s="159" t="n"/>
      <c r="L28" s="159" t="n"/>
    </row>
    <row r="29" hidden="1" ht="17.25" customHeight="1">
      <c r="A29" s="323" t="inlineStr">
        <is>
          <t>Complete Front Door Sensormatic Alarm Check</t>
        </is>
      </c>
      <c r="B29" s="322" t="n"/>
      <c r="C29" s="322" t="n"/>
      <c r="D29" s="322" t="n"/>
      <c r="E29" s="322" t="n"/>
      <c r="F29" s="322" t="n"/>
      <c r="G29" s="322" t="n"/>
      <c r="H29" s="322" t="n"/>
      <c r="I29" s="159" t="n"/>
      <c r="J29" s="159" t="n"/>
      <c r="K29" s="159" t="n"/>
      <c r="L29" s="159" t="n"/>
    </row>
    <row r="30" ht="27.75" customHeight="1">
      <c r="A30" s="323" t="inlineStr">
        <is>
          <t>Process Refill Suggestions and 'Move' onto Sales Floor</t>
        </is>
      </c>
      <c r="B30" s="322" t="n"/>
      <c r="C30" s="322" t="n"/>
      <c r="D30" s="322" t="n"/>
      <c r="E30" s="322" t="n"/>
      <c r="F30" s="322" t="n"/>
      <c r="G30" s="322" t="n"/>
      <c r="H30" s="322" t="n"/>
      <c r="I30" s="159" t="n"/>
      <c r="J30" s="159" t="n"/>
      <c r="K30" s="159" t="n"/>
      <c r="L30" s="159" t="n"/>
    </row>
    <row r="31" ht="27.75" customHeight="1">
      <c r="A31" s="321" t="inlineStr">
        <is>
          <t xml:space="preserve">Deep Clean Sales Floor
Mens, Womens, Cashwrap, Fitting Rooms, Top Shelves </t>
        </is>
      </c>
      <c r="B31" s="324" t="n"/>
      <c r="C31" s="324" t="n"/>
      <c r="D31" s="324" t="n"/>
      <c r="E31" s="324" t="n"/>
      <c r="F31" s="324" t="n"/>
      <c r="G31" s="324" t="n"/>
      <c r="H31" s="322" t="n"/>
      <c r="I31" s="159" t="n"/>
      <c r="J31" s="159" t="n"/>
      <c r="K31" s="159" t="n"/>
      <c r="L31" s="159" t="n"/>
    </row>
    <row r="32" ht="27.75" customHeight="1">
      <c r="A32" s="321" t="inlineStr">
        <is>
          <t>Deep Clean Back of House
Bathroom(s), Office, Back of House, Break Area</t>
        </is>
      </c>
      <c r="B32" s="324" t="n"/>
      <c r="C32" s="324" t="n"/>
      <c r="D32" s="324" t="n"/>
      <c r="E32" s="324" t="n"/>
      <c r="F32" s="324" t="n"/>
      <c r="G32" s="324" t="n"/>
      <c r="H32" s="322" t="n"/>
      <c r="I32" s="159" t="n"/>
      <c r="J32" s="159" t="n"/>
      <c r="K32" s="159" t="n"/>
      <c r="L32" s="159" t="n"/>
    </row>
    <row r="33" ht="27.75" customHeight="1">
      <c r="A33" s="341" t="inlineStr">
        <is>
          <t>Ensure All iPods, iPads, RFID Scanners, Walkies Are Charged
Verify on Device Sign Out Log</t>
        </is>
      </c>
      <c r="B33" s="311" t="n"/>
      <c r="C33" s="311" t="n"/>
      <c r="D33" s="311" t="n"/>
      <c r="E33" s="311" t="n"/>
      <c r="F33" s="311" t="n"/>
      <c r="G33" s="311" t="n"/>
      <c r="H33" s="334" t="n"/>
      <c r="I33" s="159" t="n"/>
      <c r="J33" s="159" t="n"/>
      <c r="K33" s="159" t="n"/>
      <c r="L33" s="159" t="n"/>
    </row>
    <row r="34" ht="27.75" customHeight="1">
      <c r="A34" s="331" t="inlineStr">
        <is>
          <t>Complete Store Deposit + Secure Fund Bag In Safe</t>
        </is>
      </c>
      <c r="B34" s="311" t="n"/>
      <c r="C34" s="311" t="n"/>
      <c r="D34" s="311" t="n"/>
      <c r="E34" s="311" t="n"/>
      <c r="F34" s="311" t="n"/>
      <c r="G34" s="311" t="n"/>
      <c r="H34" s="334" t="n"/>
      <c r="I34" s="159" t="n"/>
      <c r="J34" s="159" t="n"/>
      <c r="K34" s="159" t="n"/>
      <c r="L34" s="159" t="n"/>
    </row>
    <row r="35" ht="27.75" customHeight="1">
      <c r="A35" s="331" t="inlineStr">
        <is>
          <t>Close Store In Xstore &amp; Close Registers</t>
        </is>
      </c>
      <c r="B35" s="311" t="n"/>
      <c r="C35" s="311" t="n"/>
      <c r="D35" s="311" t="n"/>
      <c r="E35" s="311" t="n"/>
      <c r="F35" s="311" t="n"/>
      <c r="G35" s="311" t="n"/>
      <c r="H35" s="334" t="n"/>
      <c r="I35" s="159" t="n"/>
      <c r="J35" s="159" t="n"/>
      <c r="K35" s="159" t="n"/>
      <c r="L35" s="159" t="n"/>
    </row>
    <row r="36" ht="27.75" customHeight="1">
      <c r="A36" s="331" t="inlineStr">
        <is>
          <t>Complete Daily Deposit Log + PM Register Over/Short Log</t>
        </is>
      </c>
      <c r="B36" s="311" t="n"/>
      <c r="C36" s="311" t="n"/>
      <c r="D36" s="311" t="n"/>
      <c r="E36" s="311" t="n"/>
      <c r="F36" s="311" t="n"/>
      <c r="G36" s="311" t="n"/>
      <c r="H36" s="334" t="n"/>
      <c r="I36" s="159" t="n"/>
      <c r="J36" s="159" t="n"/>
      <c r="K36" s="159" t="n"/>
      <c r="L36" s="159" t="n"/>
    </row>
    <row r="37" ht="27.75" customHeight="1">
      <c r="A37" s="331" t="inlineStr">
        <is>
          <t xml:space="preserve">File Media Envelopes In Iron Mountain Boxes </t>
        </is>
      </c>
      <c r="B37" s="311" t="n"/>
      <c r="C37" s="311" t="n"/>
      <c r="D37" s="311" t="n"/>
      <c r="E37" s="311" t="n"/>
      <c r="F37" s="311" t="n"/>
      <c r="G37" s="311" t="n"/>
      <c r="H37" s="334" t="n"/>
      <c r="I37" s="159" t="n"/>
      <c r="J37" s="159" t="n"/>
      <c r="K37" s="159" t="n"/>
      <c r="L37" s="159" t="n"/>
    </row>
    <row r="38" ht="27.75" customHeight="1">
      <c r="A38" s="331" t="inlineStr">
        <is>
          <t>Send End of Day Management Email</t>
        </is>
      </c>
      <c r="B38" s="311" t="n"/>
      <c r="C38" s="311" t="n"/>
      <c r="D38" s="311" t="n"/>
      <c r="E38" s="311" t="n"/>
      <c r="F38" s="311" t="n"/>
      <c r="G38" s="311" t="n"/>
      <c r="H38" s="334" t="n"/>
      <c r="I38" s="1" t="n"/>
      <c r="J38" s="159" t="n"/>
      <c r="K38" s="159" t="n"/>
      <c r="L38" s="159" t="n"/>
    </row>
    <row r="39" hidden="1" ht="17.25" customHeight="1">
      <c r="A39" s="331" t="inlineStr">
        <is>
          <t>Manager Sign Off On Stylist Closing Checklist</t>
        </is>
      </c>
      <c r="B39" s="311" t="n"/>
      <c r="C39" s="311" t="n"/>
      <c r="D39" s="311" t="n"/>
      <c r="E39" s="311" t="n"/>
      <c r="F39" s="311" t="n"/>
      <c r="G39" s="311" t="n"/>
      <c r="H39" s="334" t="n"/>
      <c r="I39" s="159" t="n"/>
      <c r="J39" s="159" t="n"/>
      <c r="K39" s="159" t="n"/>
      <c r="L39" s="159" t="n"/>
    </row>
    <row r="40" ht="27.75" customHeight="1">
      <c r="A40" s="331" t="inlineStr">
        <is>
          <t>Store Walkthrough to Ensure Cleanliness</t>
        </is>
      </c>
      <c r="B40" s="311" t="n"/>
      <c r="C40" s="311" t="n"/>
      <c r="D40" s="311" t="n"/>
      <c r="E40" s="311" t="n"/>
      <c r="F40" s="311" t="n"/>
      <c r="G40" s="311" t="n"/>
      <c r="H40" s="334" t="n"/>
      <c r="I40" s="159" t="n"/>
      <c r="J40" s="159" t="n"/>
      <c r="K40" s="159" t="n"/>
      <c r="L40" s="159" t="n"/>
    </row>
    <row r="41" ht="15" customHeight="1">
      <c r="A41" s="342" t="inlineStr">
        <is>
          <t>DAILY SPECIFIC TASKS</t>
        </is>
      </c>
      <c r="B41" s="361" t="n"/>
      <c r="C41" s="361" t="n"/>
      <c r="D41" s="361" t="n"/>
      <c r="E41" s="361" t="n"/>
      <c r="F41" s="361" t="n"/>
      <c r="G41" s="361" t="n"/>
      <c r="H41" s="362" t="n"/>
      <c r="I41" s="159" t="n"/>
      <c r="J41" s="159" t="n"/>
      <c r="K41" s="159" t="n"/>
      <c r="L41" s="159" t="n"/>
    </row>
    <row r="42" ht="15" customHeight="1">
      <c r="A42" s="343" t="inlineStr">
        <is>
          <t>WORKFORCE MANAGEMENT</t>
        </is>
      </c>
      <c r="B42" s="319" t="inlineStr">
        <is>
          <t>M</t>
        </is>
      </c>
      <c r="C42" s="319" t="inlineStr">
        <is>
          <t>T</t>
        </is>
      </c>
      <c r="D42" s="319" t="inlineStr">
        <is>
          <t>W</t>
        </is>
      </c>
      <c r="E42" s="319" t="inlineStr">
        <is>
          <t>T</t>
        </is>
      </c>
      <c r="F42" s="319" t="inlineStr">
        <is>
          <t>F</t>
        </is>
      </c>
      <c r="G42" s="319" t="inlineStr">
        <is>
          <t>S</t>
        </is>
      </c>
      <c r="H42" s="320" t="inlineStr">
        <is>
          <t>S</t>
        </is>
      </c>
      <c r="I42" s="159" t="n"/>
      <c r="J42" s="159" t="n"/>
      <c r="K42" s="159" t="n"/>
      <c r="L42" s="159" t="n"/>
    </row>
    <row r="43" ht="15" customHeight="1">
      <c r="A43" s="331" t="inlineStr">
        <is>
          <t>Prepare, Review &amp; Post Schedule On Kronos 3-Weeks In Advance</t>
        </is>
      </c>
      <c r="B43" s="338" t="n"/>
      <c r="C43" s="338" t="n"/>
      <c r="D43" s="338" t="n"/>
      <c r="E43" s="338" t="n"/>
      <c r="F43" s="344" t="n"/>
      <c r="G43" s="344" t="n"/>
      <c r="H43" s="344" t="n"/>
      <c r="I43" s="159" t="n"/>
      <c r="J43" s="159" t="n"/>
      <c r="K43" s="159" t="n"/>
      <c r="L43" s="159" t="n"/>
    </row>
    <row r="44" ht="15" customHeight="1">
      <c r="A44" s="331" t="inlineStr">
        <is>
          <t>Process Payroll / Approve LW Timecards By 10:00AM Local Time</t>
        </is>
      </c>
      <c r="B44" s="338" t="n"/>
      <c r="C44" s="344" t="n"/>
      <c r="D44" s="344" t="n"/>
      <c r="E44" s="344" t="n"/>
      <c r="F44" s="344" t="n"/>
      <c r="G44" s="344" t="n"/>
      <c r="H44" s="345" t="n"/>
      <c r="I44" s="159" t="n"/>
      <c r="J44" s="159" t="n"/>
      <c r="K44" s="159" t="n"/>
      <c r="L44" s="159" t="n"/>
    </row>
    <row r="45" ht="15" customHeight="1">
      <c r="A45" s="331" t="inlineStr">
        <is>
          <t>Review And Action Time Off Requests In Kronos</t>
        </is>
      </c>
      <c r="B45" s="338" t="n"/>
      <c r="C45" s="338" t="n"/>
      <c r="D45" s="338" t="n"/>
      <c r="E45" s="338" t="n"/>
      <c r="F45" s="338" t="n"/>
      <c r="G45" s="344" t="n"/>
      <c r="H45" s="345" t="n"/>
      <c r="I45" s="159" t="n"/>
      <c r="J45" s="159" t="n"/>
      <c r="K45" s="159" t="n"/>
      <c r="L45" s="159" t="n"/>
    </row>
    <row r="46" ht="15" customHeight="1">
      <c r="A46" s="331" t="inlineStr">
        <is>
          <t>Assign Attendance Points / Review Corrective Action</t>
        </is>
      </c>
      <c r="B46" s="338" t="n"/>
      <c r="C46" s="338" t="n"/>
      <c r="D46" s="338" t="n"/>
      <c r="E46" s="338" t="n"/>
      <c r="F46" s="338" t="n"/>
      <c r="G46" s="344" t="n"/>
      <c r="H46" s="345" t="n"/>
      <c r="I46" s="159" t="n"/>
      <c r="J46" s="159" t="n"/>
      <c r="K46" s="159" t="n"/>
      <c r="L46" s="159" t="n"/>
    </row>
    <row r="47" ht="15" customHeight="1">
      <c r="A47" s="343" t="inlineStr">
        <is>
          <t>INVENTORY MANAGEMENT</t>
        </is>
      </c>
      <c r="B47" s="319" t="inlineStr">
        <is>
          <t>M</t>
        </is>
      </c>
      <c r="C47" s="319" t="inlineStr">
        <is>
          <t>T</t>
        </is>
      </c>
      <c r="D47" s="319" t="inlineStr">
        <is>
          <t>W</t>
        </is>
      </c>
      <c r="E47" s="319" t="inlineStr">
        <is>
          <t>T</t>
        </is>
      </c>
      <c r="F47" s="319" t="inlineStr">
        <is>
          <t>F</t>
        </is>
      </c>
      <c r="G47" s="319" t="inlineStr">
        <is>
          <t>S</t>
        </is>
      </c>
      <c r="H47" s="320" t="inlineStr">
        <is>
          <t>S</t>
        </is>
      </c>
      <c r="I47" s="159" t="n"/>
      <c r="J47" s="159" t="n"/>
      <c r="K47" s="159" t="n"/>
      <c r="L47" s="159" t="n"/>
    </row>
    <row r="48" ht="15" customHeight="1">
      <c r="A48" s="331" t="inlineStr">
        <is>
          <t>Approve/Ignore Differences On Nedap</t>
        </is>
      </c>
      <c r="B48" s="338" t="n"/>
      <c r="C48" s="338" t="n"/>
      <c r="D48" s="338" t="n"/>
      <c r="E48" s="338" t="n"/>
      <c r="F48" s="338" t="n"/>
      <c r="G48" s="338" t="n"/>
      <c r="H48" s="332" t="n"/>
      <c r="I48" s="159" t="n"/>
      <c r="J48" s="159" t="n"/>
      <c r="K48" s="159" t="n"/>
      <c r="L48" s="159" t="n"/>
    </row>
    <row r="49" ht="15" customHeight="1">
      <c r="A49" s="331" t="inlineStr">
        <is>
          <t xml:space="preserve">Complete Any Inventory Adjustments As Necessary </t>
        </is>
      </c>
      <c r="B49" s="338" t="n"/>
      <c r="C49" s="338" t="n"/>
      <c r="D49" s="338" t="n"/>
      <c r="E49" s="338" t="n"/>
      <c r="F49" s="338" t="n"/>
      <c r="G49" s="338" t="n"/>
      <c r="H49" s="332" t="n"/>
      <c r="I49" s="159" t="n"/>
      <c r="J49" s="159" t="n"/>
      <c r="K49" s="159" t="n"/>
      <c r="L49" s="159" t="n"/>
    </row>
    <row r="50" ht="15" customHeight="1">
      <c r="A50" s="333" t="inlineStr">
        <is>
          <t>Aged In-Transit Clean Up - Cartons Greater Than 4-Weeks Old</t>
        </is>
      </c>
      <c r="B50" s="338" t="n"/>
      <c r="C50" s="344" t="n"/>
      <c r="D50" s="344" t="n"/>
      <c r="E50" s="344" t="n"/>
      <c r="F50" s="344" t="n"/>
      <c r="G50" s="344" t="n"/>
      <c r="H50" s="345" t="n"/>
      <c r="I50" s="159" t="n"/>
      <c r="J50" s="159" t="n"/>
      <c r="K50" s="159" t="n"/>
      <c r="L50" s="159" t="n"/>
    </row>
    <row r="51" ht="15" customHeight="1">
      <c r="A51" s="343" t="inlineStr">
        <is>
          <t>POS &amp; XSTORE</t>
        </is>
      </c>
      <c r="B51" s="319" t="inlineStr">
        <is>
          <t>M</t>
        </is>
      </c>
      <c r="C51" s="319" t="inlineStr">
        <is>
          <t>T</t>
        </is>
      </c>
      <c r="D51" s="319" t="inlineStr">
        <is>
          <t>W</t>
        </is>
      </c>
      <c r="E51" s="319" t="inlineStr">
        <is>
          <t>T</t>
        </is>
      </c>
      <c r="F51" s="319" t="inlineStr">
        <is>
          <t>F</t>
        </is>
      </c>
      <c r="G51" s="319" t="inlineStr">
        <is>
          <t>S</t>
        </is>
      </c>
      <c r="H51" s="320" t="inlineStr">
        <is>
          <t>S</t>
        </is>
      </c>
      <c r="I51" s="159" t="n"/>
      <c r="J51" s="159" t="n"/>
      <c r="K51" s="159" t="n"/>
      <c r="L51" s="159" t="n"/>
    </row>
    <row r="52" ht="15" customHeight="1">
      <c r="A52" s="331" t="inlineStr">
        <is>
          <t>Complete Change Order Before 10:00AM Local Time (As Needed)</t>
        </is>
      </c>
      <c r="B52" s="311" t="n"/>
      <c r="C52" s="344" t="n"/>
      <c r="D52" s="344" t="n"/>
      <c r="E52" s="344" t="n"/>
      <c r="F52" s="344" t="n"/>
      <c r="G52" s="344" t="n"/>
      <c r="H52" s="345" t="n"/>
      <c r="I52" s="159" t="n"/>
      <c r="J52" s="159" t="n"/>
      <c r="K52" s="159" t="n"/>
      <c r="L52" s="159" t="n"/>
    </row>
    <row r="53" ht="15" customHeight="1">
      <c r="A53" s="343" t="inlineStr">
        <is>
          <t>SUPPLIES</t>
        </is>
      </c>
      <c r="B53" s="319" t="inlineStr">
        <is>
          <t>M</t>
        </is>
      </c>
      <c r="C53" s="319" t="inlineStr">
        <is>
          <t>T</t>
        </is>
      </c>
      <c r="D53" s="319" t="inlineStr">
        <is>
          <t>W</t>
        </is>
      </c>
      <c r="E53" s="319" t="inlineStr">
        <is>
          <t>T</t>
        </is>
      </c>
      <c r="F53" s="319" t="inlineStr">
        <is>
          <t>F</t>
        </is>
      </c>
      <c r="G53" s="319" t="inlineStr">
        <is>
          <t>S</t>
        </is>
      </c>
      <c r="H53" s="320" t="inlineStr">
        <is>
          <t>S</t>
        </is>
      </c>
      <c r="I53" s="159" t="n"/>
      <c r="J53" s="159" t="n"/>
      <c r="K53" s="159" t="n"/>
      <c r="L53" s="159" t="n"/>
    </row>
    <row r="54" hidden="1" ht="17.25" customHeight="1">
      <c r="A54" s="331" t="inlineStr">
        <is>
          <t>Complete Staples Order Audit Checklist (Every Week)</t>
        </is>
      </c>
      <c r="B54" s="338" t="n"/>
      <c r="C54" s="344" t="n"/>
      <c r="D54" s="344" t="n"/>
      <c r="E54" s="344" t="n"/>
      <c r="F54" s="344" t="n"/>
      <c r="G54" s="344" t="n"/>
      <c r="H54" s="345" t="n"/>
      <c r="I54" s="159" t="n"/>
      <c r="J54" s="159" t="n"/>
      <c r="K54" s="159" t="n"/>
      <c r="L54" s="159" t="n"/>
    </row>
    <row r="55" ht="15" customHeight="1">
      <c r="A55" s="331" t="inlineStr">
        <is>
          <t>Order Staples Supplies (As Needed)</t>
        </is>
      </c>
      <c r="B55" s="338" t="n"/>
      <c r="C55" s="344" t="n"/>
      <c r="D55" s="344" t="n"/>
      <c r="E55" s="344" t="n"/>
      <c r="F55" s="344" t="n"/>
      <c r="G55" s="344" t="n"/>
      <c r="H55" s="345" t="n"/>
      <c r="I55" s="159" t="n"/>
      <c r="J55" s="159" t="n"/>
      <c r="K55" s="159" t="n"/>
      <c r="L55" s="159" t="n"/>
    </row>
    <row r="56" ht="15" customHeight="1">
      <c r="A56" s="343" t="inlineStr">
        <is>
          <t>REPORTING &amp; ANALYTICS</t>
        </is>
      </c>
      <c r="B56" s="319" t="inlineStr">
        <is>
          <t>M</t>
        </is>
      </c>
      <c r="C56" s="319" t="inlineStr">
        <is>
          <t>T</t>
        </is>
      </c>
      <c r="D56" s="319" t="inlineStr">
        <is>
          <t>W</t>
        </is>
      </c>
      <c r="E56" s="319" t="inlineStr">
        <is>
          <t>T</t>
        </is>
      </c>
      <c r="F56" s="319" t="inlineStr">
        <is>
          <t>F</t>
        </is>
      </c>
      <c r="G56" s="319" t="inlineStr">
        <is>
          <t>S</t>
        </is>
      </c>
      <c r="H56" s="320" t="inlineStr">
        <is>
          <t>S</t>
        </is>
      </c>
      <c r="I56" s="159" t="n"/>
      <c r="J56" s="159" t="n"/>
      <c r="K56" s="159" t="n"/>
      <c r="L56" s="159" t="n"/>
    </row>
    <row r="57" ht="15" customHeight="1">
      <c r="A57" s="331" t="inlineStr">
        <is>
          <t xml:space="preserve">Review Retail Insights Top 20 </t>
        </is>
      </c>
      <c r="B57" s="338" t="n"/>
      <c r="C57" s="344" t="n"/>
      <c r="D57" s="344" t="n"/>
      <c r="E57" s="344" t="n"/>
      <c r="F57" s="344" t="n"/>
      <c r="G57" s="344" t="n"/>
      <c r="H57" s="345" t="n"/>
      <c r="I57" s="159" t="n"/>
      <c r="J57" s="159" t="n"/>
      <c r="K57" s="159" t="n"/>
      <c r="L57" s="159" t="n"/>
    </row>
    <row r="58" ht="15" customHeight="1">
      <c r="A58" s="346" t="inlineStr">
        <is>
          <t>Inventory Dashboard - Review Product In-Transit</t>
        </is>
      </c>
      <c r="B58" s="338" t="n"/>
      <c r="C58" s="344" t="n"/>
      <c r="D58" s="344" t="n"/>
      <c r="E58" s="344" t="n"/>
      <c r="F58" s="344" t="n"/>
      <c r="G58" s="344" t="n"/>
      <c r="H58" s="345" t="n"/>
      <c r="I58" s="159" t="n"/>
      <c r="J58" s="159" t="n"/>
      <c r="K58" s="159" t="n"/>
      <c r="L58" s="159" t="n"/>
    </row>
    <row r="59" ht="15" customHeight="1">
      <c r="A59" s="343" t="inlineStr">
        <is>
          <t>CONSUMER READY ENVIRONMENT</t>
        </is>
      </c>
      <c r="B59" s="319" t="inlineStr">
        <is>
          <t>M</t>
        </is>
      </c>
      <c r="C59" s="319" t="inlineStr">
        <is>
          <t>T</t>
        </is>
      </c>
      <c r="D59" s="319" t="inlineStr">
        <is>
          <t>W</t>
        </is>
      </c>
      <c r="E59" s="319" t="inlineStr">
        <is>
          <t>T</t>
        </is>
      </c>
      <c r="F59" s="319" t="inlineStr">
        <is>
          <t>F</t>
        </is>
      </c>
      <c r="G59" s="319" t="inlineStr">
        <is>
          <t>S</t>
        </is>
      </c>
      <c r="H59" s="320" t="inlineStr">
        <is>
          <t>S</t>
        </is>
      </c>
      <c r="I59" s="159" t="n"/>
      <c r="J59" s="159" t="n"/>
      <c r="K59" s="159" t="n"/>
      <c r="L59" s="159" t="n"/>
    </row>
    <row r="60" ht="15" customHeight="1">
      <c r="A60" s="331" t="inlineStr">
        <is>
          <t>Update Store Bulletin Boards</t>
        </is>
      </c>
      <c r="B60" s="338" t="n"/>
      <c r="C60" s="344" t="n"/>
      <c r="D60" s="344" t="n"/>
      <c r="E60" s="344" t="n"/>
      <c r="F60" s="344" t="n"/>
      <c r="G60" s="344" t="n"/>
      <c r="H60" s="345" t="n"/>
      <c r="I60" s="159" t="n"/>
      <c r="J60" s="159" t="n"/>
      <c r="K60" s="159" t="n"/>
      <c r="L60" s="159" t="n"/>
    </row>
    <row r="61" ht="15" customHeight="1">
      <c r="A61" s="347" t="inlineStr">
        <is>
          <t>Print  + Post New Mgmt + Stylist Checklists</t>
        </is>
      </c>
      <c r="B61" s="348" t="n"/>
      <c r="C61" s="348" t="n"/>
      <c r="D61" s="348" t="n"/>
      <c r="E61" s="348" t="n"/>
      <c r="F61" s="348" t="n"/>
      <c r="G61" s="348" t="n"/>
      <c r="H61" s="349" t="n"/>
      <c r="I61" s="159" t="n"/>
      <c r="J61" s="159" t="n"/>
      <c r="K61" s="159" t="n"/>
      <c r="L61" s="159" t="n"/>
    </row>
    <row r="62" ht="15" customHeight="1">
      <c r="A62" s="343" t="inlineStr">
        <is>
          <t>BRAND ENVIRONMENT</t>
        </is>
      </c>
      <c r="B62" s="319" t="inlineStr">
        <is>
          <t>M</t>
        </is>
      </c>
      <c r="C62" s="319" t="inlineStr">
        <is>
          <t>T</t>
        </is>
      </c>
      <c r="D62" s="319" t="inlineStr">
        <is>
          <t>W</t>
        </is>
      </c>
      <c r="E62" s="319" t="inlineStr">
        <is>
          <t>T</t>
        </is>
      </c>
      <c r="F62" s="319" t="inlineStr">
        <is>
          <t>F</t>
        </is>
      </c>
      <c r="G62" s="319" t="inlineStr">
        <is>
          <t>S</t>
        </is>
      </c>
      <c r="H62" s="320" t="inlineStr">
        <is>
          <t>S</t>
        </is>
      </c>
      <c r="I62" s="159" t="n"/>
      <c r="J62" s="159" t="n"/>
      <c r="K62" s="159" t="n"/>
      <c r="L62" s="159" t="n"/>
    </row>
    <row r="63" ht="15" customHeight="1">
      <c r="A63" s="331" t="inlineStr">
        <is>
          <t>Walkthrough of Windows &amp; Mannequins - Ensure Up To Standard</t>
        </is>
      </c>
      <c r="B63" s="311" t="n"/>
      <c r="C63" s="311" t="n"/>
      <c r="D63" s="311" t="n"/>
      <c r="E63" s="311" t="n"/>
      <c r="F63" s="311" t="n"/>
      <c r="G63" s="311" t="n"/>
      <c r="H63" s="334" t="n"/>
      <c r="I63" s="159" t="n"/>
      <c r="J63" s="159" t="n"/>
      <c r="K63" s="159" t="n"/>
      <c r="L63" s="159" t="n"/>
    </row>
    <row r="64" ht="15" customHeight="1">
      <c r="A64" s="343" t="inlineStr">
        <is>
          <t>LOSS PREVENTION</t>
        </is>
      </c>
      <c r="B64" s="319" t="inlineStr">
        <is>
          <t>M</t>
        </is>
      </c>
      <c r="C64" s="319" t="inlineStr">
        <is>
          <t>T</t>
        </is>
      </c>
      <c r="D64" s="319" t="inlineStr">
        <is>
          <t>W</t>
        </is>
      </c>
      <c r="E64" s="319" t="inlineStr">
        <is>
          <t>T</t>
        </is>
      </c>
      <c r="F64" s="319" t="inlineStr">
        <is>
          <t>F</t>
        </is>
      </c>
      <c r="G64" s="319" t="inlineStr">
        <is>
          <t>S</t>
        </is>
      </c>
      <c r="H64" s="320" t="inlineStr">
        <is>
          <t>S</t>
        </is>
      </c>
      <c r="I64" s="159" t="n"/>
      <c r="J64" s="159" t="n"/>
      <c r="K64" s="159" t="n"/>
      <c r="L64" s="159" t="n"/>
    </row>
    <row r="65" ht="18.75" customHeight="1">
      <c r="A65" s="331" t="n"/>
      <c r="B65" s="311" t="n"/>
      <c r="C65" s="311" t="n"/>
      <c r="D65" s="311" t="n"/>
      <c r="E65" s="311" t="n"/>
      <c r="F65" s="311" t="n"/>
      <c r="G65" s="311" t="n"/>
      <c r="H65" s="334" t="n"/>
      <c r="I65" s="159" t="n"/>
      <c r="J65" s="159" t="n"/>
      <c r="K65" s="159" t="n"/>
      <c r="L65" s="159" t="n"/>
    </row>
    <row r="66" ht="15" customHeight="1">
      <c r="A66" s="343" t="inlineStr">
        <is>
          <t>HEALTH &amp; SAFETY</t>
        </is>
      </c>
      <c r="B66" s="319" t="inlineStr">
        <is>
          <t>M</t>
        </is>
      </c>
      <c r="C66" s="319" t="inlineStr">
        <is>
          <t>T</t>
        </is>
      </c>
      <c r="D66" s="319" t="inlineStr">
        <is>
          <t>W</t>
        </is>
      </c>
      <c r="E66" s="319" t="inlineStr">
        <is>
          <t>T</t>
        </is>
      </c>
      <c r="F66" s="319" t="inlineStr">
        <is>
          <t>F</t>
        </is>
      </c>
      <c r="G66" s="319" t="inlineStr">
        <is>
          <t>S</t>
        </is>
      </c>
      <c r="H66" s="320" t="inlineStr">
        <is>
          <t>S</t>
        </is>
      </c>
      <c r="I66" s="159" t="n"/>
      <c r="J66" s="159" t="n"/>
      <c r="K66" s="159" t="n"/>
      <c r="L66" s="159" t="n"/>
    </row>
    <row r="67" ht="15" customHeight="1">
      <c r="A67" s="331" t="inlineStr">
        <is>
          <t>Check &amp; Replace Lightbulbs On Sales Floor, Fitting Rooms + BOH</t>
        </is>
      </c>
      <c r="B67" s="344" t="n"/>
      <c r="C67" s="311" t="n"/>
      <c r="D67" s="344" t="n"/>
      <c r="E67" s="344" t="n"/>
      <c r="F67" s="344" t="n"/>
      <c r="G67" s="344" t="n"/>
      <c r="H67" s="345" t="n"/>
      <c r="I67" s="159" t="n"/>
      <c r="J67" s="159" t="n"/>
      <c r="K67" s="159" t="n"/>
      <c r="L67" s="159" t="n"/>
    </row>
    <row r="68" ht="15" customHeight="1">
      <c r="A68" s="331" t="inlineStr">
        <is>
          <t>Secure All Shelf Talkers With Vecro After Weekly Promo Update</t>
        </is>
      </c>
      <c r="B68" s="344" t="n"/>
      <c r="C68" s="344" t="n"/>
      <c r="D68" s="344" t="n"/>
      <c r="E68" s="311" t="n"/>
      <c r="F68" s="344" t="n"/>
      <c r="G68" s="344" t="n"/>
      <c r="H68" s="345" t="n"/>
      <c r="I68" s="159" t="n"/>
      <c r="J68" s="159" t="n"/>
      <c r="K68" s="159" t="n"/>
      <c r="L68" s="159" t="n"/>
    </row>
    <row r="69" ht="15" customHeight="1">
      <c r="A69" s="331" t="inlineStr">
        <is>
          <t xml:space="preserve">Perform Fire &amp; Safety Inspection - All Egress Pathways Must Be Clear </t>
        </is>
      </c>
      <c r="B69" s="338" t="n"/>
      <c r="C69" s="338" t="n"/>
      <c r="D69" s="338" t="n"/>
      <c r="E69" s="338" t="n"/>
      <c r="F69" s="338" t="n"/>
      <c r="G69" s="338" t="n"/>
      <c r="H69" s="332" t="n"/>
      <c r="I69" s="159" t="n"/>
      <c r="J69" s="159" t="n"/>
      <c r="K69" s="159" t="n"/>
      <c r="L69" s="159" t="n"/>
    </row>
    <row r="70" ht="15" customHeight="1">
      <c r="A70" s="331" t="inlineStr">
        <is>
          <t>Perform AODA Compliance Check On Salesfloor (ON Stores Only)</t>
        </is>
      </c>
      <c r="B70" s="338" t="n"/>
      <c r="C70" s="344" t="n"/>
      <c r="D70" s="344" t="n"/>
      <c r="E70" s="344" t="n"/>
      <c r="F70" s="344" t="n"/>
      <c r="G70" s="344" t="n"/>
      <c r="H70" s="345" t="n"/>
      <c r="I70" s="159" t="n"/>
      <c r="J70" s="159" t="n"/>
      <c r="K70" s="159" t="n"/>
      <c r="L70" s="159" t="n"/>
    </row>
    <row r="71" ht="15" customHeight="1">
      <c r="A71" s="350" t="n"/>
      <c r="B71" s="351" t="n"/>
      <c r="C71" s="351" t="n"/>
      <c r="D71" s="351" t="n"/>
      <c r="E71" s="351" t="n"/>
      <c r="F71" s="351" t="n"/>
      <c r="G71" s="351" t="n"/>
      <c r="H71" s="351" t="n"/>
      <c r="I71" s="159" t="n"/>
      <c r="J71" s="159" t="n"/>
      <c r="K71" s="159" t="n"/>
      <c r="L71" s="159" t="n"/>
    </row>
    <row r="72" ht="24" customHeight="1">
      <c r="A72" s="352" t="inlineStr">
        <is>
          <t>MONTHLY MANAGEMENT CHECKLIST</t>
        </is>
      </c>
      <c r="B72" s="363" t="n"/>
      <c r="C72" s="363" t="n"/>
      <c r="D72" s="363" t="n"/>
      <c r="E72" s="363" t="n"/>
      <c r="F72" s="363" t="n"/>
      <c r="G72" s="363" t="n"/>
      <c r="H72" s="364" t="n"/>
      <c r="I72" s="159" t="n"/>
      <c r="J72" s="159" t="n"/>
      <c r="K72" s="159" t="n"/>
      <c r="L72" s="159" t="n"/>
    </row>
    <row r="73" ht="14.25" customHeight="1">
      <c r="A73" s="353" t="inlineStr">
        <is>
          <t>Due on the first Friday of every month</t>
        </is>
      </c>
      <c r="B73" s="365" t="n"/>
      <c r="C73" s="365" t="n"/>
      <c r="D73" s="365" t="n"/>
      <c r="E73" s="365" t="n"/>
      <c r="F73" s="365" t="n"/>
      <c r="G73" s="365" t="n"/>
      <c r="H73" s="366" t="n"/>
      <c r="I73" s="159" t="n"/>
      <c r="J73" s="159" t="n"/>
      <c r="K73" s="159" t="n"/>
      <c r="L73" s="159" t="n"/>
    </row>
    <row r="74" ht="15" customHeight="1">
      <c r="A74" s="354" t="inlineStr">
        <is>
          <t>RETAIL ASSET PROTECTION CHECKLIST</t>
        </is>
      </c>
      <c r="B74" s="367" t="n"/>
      <c r="C74" s="367" t="n"/>
      <c r="D74" s="367" t="n"/>
      <c r="E74" s="367" t="n"/>
      <c r="F74" s="367" t="n"/>
      <c r="G74" s="367" t="n"/>
      <c r="H74" s="368" t="n"/>
      <c r="I74" s="159" t="n"/>
      <c r="J74" s="159" t="n"/>
      <c r="K74" s="159" t="n"/>
      <c r="L74" s="159" t="n"/>
    </row>
    <row r="75" ht="15" customHeight="1">
      <c r="A75" s="338" t="inlineStr">
        <is>
          <t>TEST EMERGENCY EXIT DOOR ALARM - WORKING?</t>
        </is>
      </c>
      <c r="B75" s="355" t="inlineStr">
        <is>
          <t>DATE COMPLETED: ________  //  Manager Signoff:_______________</t>
        </is>
      </c>
      <c r="C75" s="367" t="n"/>
      <c r="D75" s="367" t="n"/>
      <c r="E75" s="367" t="n"/>
      <c r="F75" s="367" t="n"/>
      <c r="G75" s="367" t="n"/>
      <c r="H75" s="368" t="n"/>
      <c r="I75" s="159" t="n"/>
      <c r="J75" s="159" t="n"/>
      <c r="K75" s="159" t="n"/>
      <c r="L75" s="159" t="n"/>
    </row>
    <row r="76" ht="15" customHeight="1">
      <c r="A76" s="356" t="inlineStr">
        <is>
          <t>COMPLETE MONTHLY SURVEY ON VERIFONE/ALARM (1ST WEEK/MO)</t>
        </is>
      </c>
      <c r="B76" s="355" t="inlineStr">
        <is>
          <t>DATE COMPLETED: ________  //  Manager Signoff:_______________</t>
        </is>
      </c>
      <c r="C76" s="367" t="n"/>
      <c r="D76" s="367" t="n"/>
      <c r="E76" s="367" t="n"/>
      <c r="F76" s="367" t="n"/>
      <c r="G76" s="367" t="n"/>
      <c r="H76" s="368" t="n"/>
      <c r="I76" s="159" t="n"/>
      <c r="J76" s="159" t="n"/>
      <c r="K76" s="159" t="n"/>
      <c r="L76" s="159" t="n"/>
    </row>
    <row r="77" ht="15" customHeight="1">
      <c r="A77" s="356" t="inlineStr">
        <is>
          <t>SIGN ALARM TESTING LOG 5-125 AFTER COMPLETE ABOVE TASK</t>
        </is>
      </c>
      <c r="B77" s="355" t="inlineStr">
        <is>
          <t>DATE COMPLETED: ________  //  Manager Signoff:_______________</t>
        </is>
      </c>
      <c r="C77" s="367" t="n"/>
      <c r="D77" s="367" t="n"/>
      <c r="E77" s="367" t="n"/>
      <c r="F77" s="367" t="n"/>
      <c r="G77" s="367" t="n"/>
      <c r="H77" s="368" t="n"/>
      <c r="I77" s="159" t="n"/>
      <c r="J77" s="159" t="n"/>
      <c r="K77" s="159" t="n"/>
      <c r="L77" s="159" t="n"/>
    </row>
    <row r="78" ht="18.75" customHeight="1">
      <c r="A78" s="354" t="inlineStr">
        <is>
          <t>HEALTH &amp; SAFETY CHECKLIST</t>
        </is>
      </c>
      <c r="B78" s="367" t="n"/>
      <c r="C78" s="367" t="n"/>
      <c r="D78" s="367" t="n"/>
      <c r="E78" s="367" t="n"/>
      <c r="F78" s="367" t="n"/>
      <c r="G78" s="367" t="n"/>
      <c r="H78" s="368" t="n"/>
      <c r="I78" s="159" t="n"/>
      <c r="J78" s="159" t="n"/>
      <c r="K78" s="159" t="n"/>
      <c r="L78" s="159" t="n"/>
    </row>
    <row r="79" ht="14.25" customHeight="1">
      <c r="A79" s="338" t="inlineStr">
        <is>
          <t>AUDIT FIRST AID KITS - FULL STOCKED?</t>
        </is>
      </c>
      <c r="B79" s="355" t="inlineStr">
        <is>
          <t>DATE COMPLETED: ________  //  Manager Signoff:_______________</t>
        </is>
      </c>
      <c r="C79" s="367" t="n"/>
      <c r="D79" s="367" t="n"/>
      <c r="E79" s="367" t="n"/>
      <c r="F79" s="367" t="n"/>
      <c r="G79" s="367" t="n"/>
      <c r="H79" s="368" t="n"/>
      <c r="I79" s="159" t="n"/>
      <c r="J79" s="159" t="n"/>
      <c r="K79" s="159" t="n"/>
      <c r="L79" s="159" t="n"/>
    </row>
    <row r="80" ht="14.25" customHeight="1">
      <c r="A80" s="338" t="inlineStr">
        <is>
          <t>COMPLETE MONTHLY INSPECTION CHECKLIST</t>
        </is>
      </c>
      <c r="B80" s="355" t="inlineStr">
        <is>
          <t>DATE COMPLETED: ________  //  Manager Signoff:_______________</t>
        </is>
      </c>
      <c r="C80" s="367" t="n"/>
      <c r="D80" s="367" t="n"/>
      <c r="E80" s="367" t="n"/>
      <c r="F80" s="367" t="n"/>
      <c r="G80" s="367" t="n"/>
      <c r="H80" s="368" t="n"/>
      <c r="I80" s="159" t="n"/>
      <c r="J80" s="159" t="n"/>
      <c r="K80" s="159" t="n"/>
      <c r="L80" s="159" t="n"/>
    </row>
    <row r="81" ht="14.25" customHeight="1">
      <c r="A81" s="338" t="inlineStr">
        <is>
          <t>AFTER MONTHLY RIG IS SET REVIEW SALESFLOOR FOR AODA COMPLIANCE (ON STORES ONLY)</t>
        </is>
      </c>
      <c r="B81" s="355" t="inlineStr">
        <is>
          <t>DATE COMPLETED: ________  //  Manager Signoff:_______________</t>
        </is>
      </c>
      <c r="C81" s="367" t="n"/>
      <c r="D81" s="367" t="n"/>
      <c r="E81" s="367" t="n"/>
      <c r="F81" s="367" t="n"/>
      <c r="G81" s="367" t="n"/>
      <c r="H81" s="368" t="n"/>
      <c r="I81" s="159" t="n"/>
      <c r="J81" s="159" t="n"/>
      <c r="K81" s="159" t="n"/>
      <c r="L81" s="159" t="n"/>
    </row>
    <row r="82" ht="18.75" customFormat="1" customHeight="1" s="357">
      <c r="A82" s="358" t="inlineStr">
        <is>
          <t>SELF-STORE AUDIT</t>
        </is>
      </c>
      <c r="B82" s="367" t="n"/>
      <c r="C82" s="367" t="n"/>
      <c r="D82" s="367" t="n"/>
      <c r="E82" s="367" t="n"/>
      <c r="F82" s="367" t="n"/>
      <c r="G82" s="367" t="n"/>
      <c r="H82" s="368" t="n"/>
      <c r="I82" s="64" t="n"/>
      <c r="J82" s="64" t="n"/>
      <c r="K82" s="64" t="n"/>
      <c r="L82" s="64" t="n"/>
    </row>
    <row r="83" ht="15" customHeight="1">
      <c r="A83" s="356" t="inlineStr">
        <is>
          <t>UPDATE EMERGENCY CONTACT ROSTER + STYLIST PHONE LISTING</t>
        </is>
      </c>
      <c r="B83" s="355" t="inlineStr">
        <is>
          <t>DATE COMPLETED: ________  //  Manager Signoff:_______________</t>
        </is>
      </c>
      <c r="C83" s="367" t="n"/>
      <c r="D83" s="367" t="n"/>
      <c r="E83" s="367" t="n"/>
      <c r="F83" s="367" t="n"/>
      <c r="G83" s="367" t="n"/>
      <c r="H83" s="368" t="n"/>
      <c r="I83" s="159" t="n"/>
      <c r="J83" s="159" t="n"/>
      <c r="K83" s="159" t="n"/>
      <c r="L83" s="159" t="n"/>
    </row>
  </sheetData>
  <mergeCells count="15">
    <mergeCell ref="A78:H78"/>
    <mergeCell ref="B79:H79"/>
    <mergeCell ref="A73:H73"/>
    <mergeCell ref="B83:H83"/>
    <mergeCell ref="A72:H72"/>
    <mergeCell ref="B75:H75"/>
    <mergeCell ref="B77:H77"/>
    <mergeCell ref="A82:H82"/>
    <mergeCell ref="A41:H41"/>
    <mergeCell ref="B2:H2"/>
    <mergeCell ref="A1:H1"/>
    <mergeCell ref="B80:H80"/>
    <mergeCell ref="B81:H81"/>
    <mergeCell ref="B76:H76"/>
    <mergeCell ref="A74:H7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H28"/>
  <sheetViews>
    <sheetView workbookViewId="0">
      <selection activeCell="A1" sqref="A1"/>
    </sheetView>
  </sheetViews>
  <sheetFormatPr baseColWidth="8" defaultRowHeight="15"/>
  <cols>
    <col width="71.57642857142856" bestFit="1" customWidth="1" style="166" min="1" max="1"/>
    <col width="7.147857142857143" bestFit="1" customWidth="1" style="165" min="2" max="2"/>
    <col width="7.147857142857143" bestFit="1" customWidth="1" style="165" min="3" max="3"/>
    <col width="7.147857142857143" bestFit="1" customWidth="1" style="165" min="4" max="4"/>
    <col width="7.147857142857143" bestFit="1" customWidth="1" style="165" min="5" max="5"/>
    <col width="7.147857142857143" bestFit="1" customWidth="1" style="165" min="6" max="6"/>
    <col width="7.147857142857143" bestFit="1" customWidth="1" style="165" min="7" max="7"/>
    <col width="7.147857142857143" bestFit="1" customWidth="1" style="165" min="8" max="8"/>
  </cols>
  <sheetData>
    <row r="1" ht="30" customHeight="1">
      <c r="A1" s="296" t="inlineStr">
        <is>
          <t>WEEKLY STYLIST CHECKLIST</t>
        </is>
      </c>
    </row>
    <row r="2" ht="20.25" customHeight="1">
      <c r="A2" s="313" t="inlineStr">
        <is>
          <t>WEEK OF:</t>
        </is>
      </c>
      <c r="B2" s="314" t="n"/>
    </row>
    <row r="3" ht="4.5" customHeight="1">
      <c r="A3" s="315" t="n"/>
      <c r="B3" s="316" t="n"/>
      <c r="C3" s="316" t="n"/>
      <c r="D3" s="316" t="n"/>
      <c r="E3" s="316" t="n"/>
      <c r="F3" s="316" t="n"/>
      <c r="G3" s="316" t="n"/>
      <c r="H3" s="317" t="n"/>
    </row>
    <row r="4" ht="25.5" customHeight="1">
      <c r="A4" s="318" t="inlineStr">
        <is>
          <t>STYLIST OPENING CHECKLIST
Stylist to Initial Box</t>
        </is>
      </c>
      <c r="B4" s="319" t="inlineStr">
        <is>
          <t>M</t>
        </is>
      </c>
      <c r="C4" s="319" t="inlineStr">
        <is>
          <t>T</t>
        </is>
      </c>
      <c r="D4" s="319" t="inlineStr">
        <is>
          <t>W</t>
        </is>
      </c>
      <c r="E4" s="319" t="inlineStr">
        <is>
          <t>T</t>
        </is>
      </c>
      <c r="F4" s="319" t="inlineStr">
        <is>
          <t>F</t>
        </is>
      </c>
      <c r="G4" s="319" t="inlineStr">
        <is>
          <t>S</t>
        </is>
      </c>
      <c r="H4" s="320" t="inlineStr">
        <is>
          <t>S</t>
        </is>
      </c>
    </row>
    <row r="5" ht="25.5" customHeight="1">
      <c r="A5" s="321" t="inlineStr">
        <is>
          <t>Deep Clean Cashwrap, Registers And Breakroom - Daily</t>
        </is>
      </c>
      <c r="B5" s="322" t="n"/>
      <c r="C5" s="322" t="n"/>
      <c r="D5" s="322" t="n"/>
      <c r="E5" s="322" t="n"/>
      <c r="F5" s="322" t="n"/>
      <c r="G5" s="322" t="n"/>
      <c r="H5" s="322" t="n"/>
    </row>
    <row r="6" ht="25.5" customHeight="1">
      <c r="A6" s="321" t="inlineStr">
        <is>
          <t>Morning Sanitize High Touch Surfaces 
Doorknobs, Fitting Room Doors And Rooms, Stockroom Doors, Phone, POS Keyboards</t>
        </is>
      </c>
      <c r="B6" s="322" t="n"/>
      <c r="C6" s="322" t="n"/>
      <c r="D6" s="322" t="n"/>
      <c r="E6" s="322" t="n"/>
      <c r="F6" s="322" t="n"/>
      <c r="G6" s="322" t="n"/>
      <c r="H6" s="322" t="n"/>
    </row>
    <row r="7" ht="25.5" customHeight="1">
      <c r="A7" s="321" t="inlineStr">
        <is>
          <t>Mid Day Sanitize High Touch Surfaces 
Doorknobs, Fitting Room Doors And Rooms, Stockroom Doors, Phone, POS Keyboards</t>
        </is>
      </c>
      <c r="B7" s="322" t="n"/>
      <c r="C7" s="322" t="n"/>
      <c r="D7" s="322" t="n"/>
      <c r="E7" s="322" t="n"/>
      <c r="F7" s="322" t="n"/>
      <c r="G7" s="322" t="n"/>
      <c r="H7" s="322" t="n"/>
    </row>
    <row r="8" ht="25.5" customHeight="1">
      <c r="A8" s="321" t="inlineStr">
        <is>
          <t>Clean Bathroom
Replace Toilet Paper, Paper Towels, Wipe Surfaces, Windex Mirrors, Sweep</t>
        </is>
      </c>
      <c r="B8" s="322" t="n"/>
      <c r="C8" s="322" t="n"/>
      <c r="D8" s="322" t="n"/>
      <c r="E8" s="322" t="n"/>
      <c r="F8" s="322" t="n"/>
      <c r="G8" s="322" t="n"/>
      <c r="H8" s="322" t="n"/>
    </row>
    <row r="9" ht="25.5" customHeight="1">
      <c r="A9" s="321" t="inlineStr">
        <is>
          <t xml:space="preserve">Mannequins Are Outfitted 100% (Accessories, Shoes, Apparel). </t>
        </is>
      </c>
      <c r="B9" s="322" t="n"/>
      <c r="C9" s="322" t="n"/>
      <c r="D9" s="322" t="n"/>
      <c r="E9" s="322" t="n"/>
      <c r="F9" s="322" t="n"/>
      <c r="G9" s="322" t="n"/>
      <c r="H9" s="322" t="n"/>
    </row>
    <row r="10" ht="25.5" customHeight="1">
      <c r="A10" s="323" t="inlineStr">
        <is>
          <t>Complete Front Door Sensormatic Alarm Check</t>
        </is>
      </c>
      <c r="B10" s="322" t="n"/>
      <c r="C10" s="322" t="n"/>
      <c r="D10" s="322" t="n"/>
      <c r="E10" s="322" t="n"/>
      <c r="F10" s="322" t="n"/>
      <c r="G10" s="322" t="n"/>
      <c r="H10" s="322" t="n"/>
    </row>
    <row r="11" ht="25.5" customHeight="1">
      <c r="A11" s="323" t="inlineStr">
        <is>
          <t>Process Refill Suggestions and 'Move' onto Sales Floor</t>
        </is>
      </c>
      <c r="B11" s="322" t="n"/>
      <c r="C11" s="322" t="n"/>
      <c r="D11" s="322" t="n"/>
      <c r="E11" s="322" t="n"/>
      <c r="F11" s="322" t="n"/>
      <c r="G11" s="322" t="n"/>
      <c r="H11" s="322" t="n"/>
    </row>
    <row r="12" ht="25.5" customHeight="1">
      <c r="A12" s="321" t="inlineStr">
        <is>
          <t xml:space="preserve">Deep Clean Sales Floor
Mens, Womens, Cashwrap, Fitting Rooms, Top Shelves </t>
        </is>
      </c>
      <c r="B12" s="324" t="n"/>
      <c r="C12" s="324" t="n"/>
      <c r="D12" s="324" t="n"/>
      <c r="E12" s="324" t="n"/>
      <c r="F12" s="324" t="n"/>
      <c r="G12" s="324" t="n"/>
      <c r="H12" s="322" t="n"/>
    </row>
    <row r="13" ht="25.5" customHeight="1">
      <c r="A13" s="321" t="inlineStr">
        <is>
          <t>Deep Clean Back of House
Bathroom(s), Office, Back of House, Break Area</t>
        </is>
      </c>
      <c r="B13" s="324" t="n"/>
      <c r="C13" s="324" t="n"/>
      <c r="D13" s="324" t="n"/>
      <c r="E13" s="324" t="n"/>
      <c r="F13" s="324" t="n"/>
      <c r="G13" s="324" t="n"/>
      <c r="H13" s="322" t="n"/>
    </row>
    <row r="14" ht="25.5" customHeight="1">
      <c r="A14" s="305" t="inlineStr">
        <is>
          <t xml:space="preserve">OPENING MANAGER SIGN OFF </t>
        </is>
      </c>
      <c r="B14" s="307" t="n"/>
      <c r="C14" s="307" t="n"/>
      <c r="D14" s="307" t="n"/>
      <c r="E14" s="307" t="n"/>
      <c r="F14" s="307" t="n"/>
      <c r="G14" s="307" t="n"/>
      <c r="H14" s="307" t="n"/>
    </row>
    <row r="15" ht="4.5" customHeight="1">
      <c r="A15" s="315" t="n"/>
      <c r="B15" s="316" t="n"/>
      <c r="C15" s="316" t="n"/>
      <c r="D15" s="316" t="n"/>
      <c r="E15" s="316" t="n"/>
      <c r="F15" s="316" t="n"/>
      <c r="G15" s="316" t="n"/>
      <c r="H15" s="317" t="n"/>
    </row>
    <row r="16" ht="25.5" customHeight="1">
      <c r="A16" s="318" t="inlineStr">
        <is>
          <t>STYLIST CLOSING CHECKLIST
Stylist to Initial Box</t>
        </is>
      </c>
      <c r="B16" s="319" t="inlineStr">
        <is>
          <t>M</t>
        </is>
      </c>
      <c r="C16" s="319" t="inlineStr">
        <is>
          <t>T</t>
        </is>
      </c>
      <c r="D16" s="319" t="inlineStr">
        <is>
          <t>W</t>
        </is>
      </c>
      <c r="E16" s="319" t="inlineStr">
        <is>
          <t>T</t>
        </is>
      </c>
      <c r="F16" s="319" t="inlineStr">
        <is>
          <t>F</t>
        </is>
      </c>
      <c r="G16" s="319" t="inlineStr">
        <is>
          <t>S</t>
        </is>
      </c>
      <c r="H16" s="320" t="inlineStr">
        <is>
          <t>S</t>
        </is>
      </c>
    </row>
    <row r="17" ht="25.5" customHeight="1">
      <c r="A17" s="321" t="inlineStr">
        <is>
          <t>Cashwrap:
Clear &amp; Putback Expired Consumer Holds</t>
        </is>
      </c>
      <c r="B17" s="322" t="n"/>
      <c r="C17" s="322" t="n"/>
      <c r="D17" s="322" t="n"/>
      <c r="E17" s="322" t="n"/>
      <c r="F17" s="322" t="n"/>
      <c r="G17" s="322" t="n"/>
      <c r="H17" s="322" t="n"/>
    </row>
    <row r="18" ht="25.5" customHeight="1">
      <c r="A18" s="321" t="inlineStr">
        <is>
          <t>Cashwrap:
Take Hangers From Cashwrap To BOH to Hang or Box Up and Label</t>
        </is>
      </c>
      <c r="B18" s="322" t="n"/>
      <c r="C18" s="322" t="n"/>
      <c r="D18" s="322" t="n"/>
      <c r="E18" s="322" t="n"/>
      <c r="F18" s="322" t="n"/>
      <c r="G18" s="322" t="n"/>
      <c r="H18" s="322" t="n"/>
    </row>
    <row r="19" ht="25.5" customHeight="1">
      <c r="A19" s="321" t="inlineStr">
        <is>
          <t>Cashwrap: 
Restock All Cashwrap Supplies (Shopping Bags, Receipt Rolls, etc.)</t>
        </is>
      </c>
      <c r="B19" s="322" t="n"/>
      <c r="C19" s="322" t="n"/>
      <c r="D19" s="322" t="n"/>
      <c r="E19" s="322" t="n"/>
      <c r="F19" s="322" t="n"/>
      <c r="G19" s="322" t="n"/>
      <c r="H19" s="322" t="n"/>
    </row>
    <row r="20" ht="25.5" customHeight="1">
      <c r="A20" s="321" t="inlineStr">
        <is>
          <t>Cashwrap: 
Damages &amp; Defectives Placed In Correct Bin In BOH</t>
        </is>
      </c>
      <c r="B20" s="322" t="n"/>
      <c r="C20" s="322" t="n"/>
      <c r="D20" s="322" t="n"/>
      <c r="E20" s="322" t="n"/>
      <c r="F20" s="322" t="n"/>
      <c r="G20" s="322" t="n"/>
      <c r="H20" s="322" t="n"/>
    </row>
    <row r="21" ht="25.5" customHeight="1">
      <c r="A21" s="321" t="inlineStr">
        <is>
          <t xml:space="preserve">Cashwrap: 
Empty All Hard Tags (Pins + Paddles) To BOH. If Bins Are Full, Place in Box And Label. </t>
        </is>
      </c>
      <c r="B21" s="322" t="n"/>
      <c r="C21" s="322" t="n"/>
      <c r="D21" s="322" t="n"/>
      <c r="E21" s="322" t="n"/>
      <c r="F21" s="322" t="n"/>
      <c r="G21" s="322" t="n"/>
      <c r="H21" s="322" t="n"/>
    </row>
    <row r="22" ht="25.5" customHeight="1">
      <c r="A22" s="321" t="inlineStr">
        <is>
          <t xml:space="preserve">Back of House:
Clean Breakroom (Trash, Food, Surfaces Wiped, Fridge Cleaned). </t>
        </is>
      </c>
      <c r="B22" s="322" t="n"/>
      <c r="C22" s="322" t="n"/>
      <c r="D22" s="322" t="n"/>
      <c r="E22" s="322" t="n"/>
      <c r="F22" s="322" t="n"/>
      <c r="G22" s="322" t="n"/>
      <c r="H22" s="322" t="n"/>
    </row>
    <row r="23" ht="25.5" customHeight="1">
      <c r="A23" s="321" t="inlineStr">
        <is>
          <t>Back of House:
Clean Off All Desk Tops And Sweep BOH Floor.</t>
        </is>
      </c>
      <c r="B23" s="322" t="n"/>
      <c r="C23" s="322" t="n"/>
      <c r="D23" s="322" t="n"/>
      <c r="E23" s="322" t="n"/>
      <c r="F23" s="322" t="n"/>
      <c r="G23" s="322" t="n"/>
      <c r="H23" s="322" t="n"/>
    </row>
    <row r="24" ht="25.5" customHeight="1">
      <c r="A24" s="321" t="inlineStr">
        <is>
          <t>Entire Store:
Dust Sales Floor, Fitting Rooms, Windex All Mirrors And Windows.</t>
        </is>
      </c>
      <c r="B24" s="322" t="n"/>
      <c r="C24" s="322" t="n"/>
      <c r="D24" s="322" t="n"/>
      <c r="E24" s="322" t="n"/>
      <c r="F24" s="322" t="n"/>
      <c r="G24" s="322" t="n"/>
      <c r="H24" s="322" t="n"/>
    </row>
    <row r="25" ht="25.5" customHeight="1">
      <c r="A25" s="321" t="inlineStr">
        <is>
          <t>Entire Store: 
All Store Is Recovered, Restandardized + Tags Tucked.</t>
        </is>
      </c>
      <c r="B25" s="322" t="n"/>
      <c r="C25" s="322" t="n"/>
      <c r="D25" s="322" t="n"/>
      <c r="E25" s="322" t="n"/>
      <c r="F25" s="322" t="n"/>
      <c r="G25" s="322" t="n"/>
      <c r="H25" s="322" t="n"/>
    </row>
    <row r="26" ht="25.5" customHeight="1">
      <c r="A26" s="321" t="inlineStr">
        <is>
          <t>Entire Store: 
Trash Emptied/Lined (Cashwrap, Office, BOH, Restroom) &amp; Garbage Run</t>
        </is>
      </c>
      <c r="B26" s="322" t="n"/>
      <c r="C26" s="322" t="n"/>
      <c r="D26" s="322" t="n"/>
      <c r="E26" s="322" t="n"/>
      <c r="F26" s="322" t="n"/>
      <c r="G26" s="322" t="n"/>
      <c r="H26" s="322" t="n"/>
    </row>
    <row r="27" ht="25.5" customHeight="1">
      <c r="A27" s="305" t="inlineStr">
        <is>
          <t xml:space="preserve">CLOSING MANAGER SIGN OFF </t>
        </is>
      </c>
      <c r="B27" s="307" t="n"/>
      <c r="C27" s="307" t="n"/>
      <c r="D27" s="307" t="n"/>
      <c r="E27" s="307" t="n"/>
      <c r="F27" s="307" t="n"/>
      <c r="G27" s="307" t="n"/>
      <c r="H27" s="307" t="n"/>
    </row>
    <row r="28" ht="4.5" customHeight="1">
      <c r="A28" s="315" t="n"/>
      <c r="B28" s="316" t="n"/>
      <c r="C28" s="316" t="n"/>
      <c r="D28" s="316" t="n"/>
      <c r="E28" s="316" t="n"/>
      <c r="F28" s="316" t="n"/>
      <c r="G28" s="316" t="n"/>
      <c r="H28" s="317" t="n"/>
    </row>
  </sheetData>
  <mergeCells count="2">
    <mergeCell ref="B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H46"/>
  <sheetViews>
    <sheetView workbookViewId="0">
      <selection activeCell="A1" sqref="A1"/>
    </sheetView>
  </sheetViews>
  <sheetFormatPr baseColWidth="8" defaultRowHeight="15"/>
  <cols>
    <col width="19.005" bestFit="1" customWidth="1" style="166" min="1" max="1"/>
    <col width="15.43357142857143" bestFit="1" customWidth="1" style="295" min="2" max="2"/>
    <col width="15.43357142857143" bestFit="1" customWidth="1" style="295" min="3" max="3"/>
    <col width="15.43357142857143" bestFit="1" customWidth="1" style="166" min="4" max="4"/>
    <col width="15.43357142857143" bestFit="1" customWidth="1" style="166" min="5" max="5"/>
    <col width="13.57642857142857" bestFit="1" customWidth="1" style="159" min="6" max="6"/>
    <col width="13.57642857142857" bestFit="1" customWidth="1" style="159" min="7" max="7"/>
    <col width="13.57642857142857" bestFit="1" customWidth="1" style="159" min="8" max="8"/>
  </cols>
  <sheetData>
    <row r="1" ht="30" customHeight="1">
      <c r="A1" s="296" t="inlineStr">
        <is>
          <t>EOD MANAGEMENT RECAP TEMPLATE</t>
        </is>
      </c>
    </row>
    <row r="2" ht="18.75" customHeight="1">
      <c r="A2" s="1" t="inlineStr">
        <is>
          <t>Please use the following email to send at end of business day</t>
        </is>
      </c>
      <c r="B2" s="68" t="n"/>
      <c r="C2" s="68" t="n"/>
      <c r="D2" s="2" t="n"/>
      <c r="E2" s="68" t="n"/>
      <c r="F2" s="159" t="n"/>
      <c r="G2" s="159" t="n"/>
      <c r="H2" s="159" t="n"/>
    </row>
    <row r="3" ht="18.75" customHeight="1">
      <c r="A3" s="1" t="inlineStr">
        <is>
          <t>To: All Store Leadership Team Members</t>
        </is>
      </c>
      <c r="F3" s="159" t="n"/>
      <c r="G3" s="159" t="n"/>
      <c r="H3" s="159" t="n"/>
    </row>
    <row r="4" ht="18.75" customHeight="1">
      <c r="A4" s="1" t="inlineStr">
        <is>
          <t>Cc: District Manager</t>
        </is>
      </c>
      <c r="F4" s="159" t="n"/>
      <c r="G4" s="159" t="n"/>
      <c r="H4" s="159" t="n"/>
    </row>
    <row r="5" ht="18.75" customHeight="1">
      <c r="A5" s="1" t="inlineStr">
        <is>
          <t>Subject: Store # - EOD Recap - {Date}</t>
        </is>
      </c>
      <c r="F5" s="159" t="n"/>
      <c r="G5" s="159" t="n"/>
      <c r="H5" s="159" t="n"/>
    </row>
    <row r="6" ht="18.75" customHeight="1">
      <c r="A6" s="297" t="n"/>
      <c r="B6" s="68" t="n"/>
      <c r="C6" s="68" t="n"/>
      <c r="D6" s="2" t="n"/>
      <c r="E6" s="68" t="n"/>
      <c r="F6" s="159" t="n"/>
      <c r="G6" s="159" t="n"/>
      <c r="H6" s="159" t="n"/>
    </row>
    <row r="7" ht="18.75" customHeight="1">
      <c r="A7" s="298" t="inlineStr">
        <is>
          <t>Complete below template and copy &amp; paste onto email</t>
        </is>
      </c>
      <c r="B7" s="363" t="n"/>
      <c r="C7" s="363" t="n"/>
      <c r="D7" s="363" t="n"/>
      <c r="E7" s="364" t="n"/>
      <c r="F7" s="159" t="n"/>
      <c r="G7" s="159" t="n"/>
      <c r="H7" s="159" t="n"/>
    </row>
    <row r="8" ht="18.75" customHeight="1">
      <c r="A8" s="301" t="inlineStr">
        <is>
          <t xml:space="preserve">E O D   M A N A G E M E N T   R E C A P </t>
        </is>
      </c>
      <c r="B8" s="367" t="n"/>
      <c r="C8" s="367" t="n"/>
      <c r="D8" s="367" t="n"/>
      <c r="E8" s="369" t="n"/>
      <c r="F8" s="159" t="n"/>
      <c r="G8" s="159" t="n"/>
      <c r="H8" s="159" t="n"/>
    </row>
    <row r="9" ht="18.75" customHeight="1">
      <c r="A9" s="305" t="n"/>
      <c r="B9" s="306" t="inlineStr">
        <is>
          <t>Target</t>
        </is>
      </c>
      <c r="C9" s="306" t="inlineStr">
        <is>
          <t>Actual</t>
        </is>
      </c>
      <c r="D9" s="307" t="inlineStr">
        <is>
          <t>% to Plan</t>
        </is>
      </c>
      <c r="E9" s="307" t="inlineStr">
        <is>
          <t>$ to Plan</t>
        </is>
      </c>
      <c r="F9" s="159" t="n"/>
      <c r="G9" s="159" t="n"/>
      <c r="H9" s="159" t="n"/>
    </row>
    <row r="10" ht="18.75" customHeight="1">
      <c r="A10" s="305" t="inlineStr">
        <is>
          <t>Sales</t>
        </is>
      </c>
      <c r="B10" s="308" t="n">
        <v>26500</v>
      </c>
      <c r="C10" s="308" t="n">
        <v>27900</v>
      </c>
      <c r="D10" s="309">
        <f>C10/B10-1</f>
        <v/>
      </c>
      <c r="E10" s="308">
        <f>C10-B10</f>
        <v/>
      </c>
      <c r="F10" s="159" t="n"/>
      <c r="G10" s="159" t="n"/>
      <c r="H10" s="159" t="n"/>
    </row>
    <row r="11" ht="18.75" customHeight="1">
      <c r="A11" s="301" t="inlineStr">
        <is>
          <t>B U S I N E S S   I N S I G H T S</t>
        </is>
      </c>
      <c r="B11" s="367" t="n"/>
      <c r="C11" s="367" t="n"/>
      <c r="D11" s="367" t="n"/>
      <c r="E11" s="369" t="n"/>
      <c r="F11" s="159" t="n"/>
      <c r="G11" s="159" t="n"/>
      <c r="H11" s="159" t="n"/>
    </row>
    <row r="12" ht="18.75" customHeight="1">
      <c r="A12" s="310" t="inlineStr">
        <is>
          <t>Today's Wins</t>
        </is>
      </c>
      <c r="B12" s="367" t="n"/>
      <c r="C12" s="367" t="n"/>
      <c r="D12" s="367" t="n"/>
      <c r="E12" s="369" t="n"/>
      <c r="F12" s="159" t="n"/>
      <c r="G12" s="159" t="n"/>
      <c r="H12" s="159" t="n"/>
    </row>
    <row r="13" ht="18.75" customHeight="1">
      <c r="A13" s="311" t="inlineStr">
        <is>
          <t>Exceed today's target with a 15% conversion! Highest this quarter. Keep up the momentum</t>
        </is>
      </c>
      <c r="B13" s="367" t="n"/>
      <c r="C13" s="367" t="n"/>
      <c r="D13" s="367" t="n"/>
      <c r="E13" s="369" t="n"/>
      <c r="F13" s="159" t="n"/>
      <c r="G13" s="159" t="n"/>
      <c r="H13" s="159" t="n"/>
    </row>
    <row r="14" ht="18.75" customHeight="1">
      <c r="A14" s="311" t="inlineStr">
        <is>
          <t>Stylist, Jack had a $700 transaction today! Please recognize him in tomorrow's chat-in</t>
        </is>
      </c>
      <c r="B14" s="367" t="n"/>
      <c r="C14" s="367" t="n"/>
      <c r="D14" s="367" t="n"/>
      <c r="E14" s="369" t="n"/>
      <c r="F14" s="159" t="n"/>
      <c r="G14" s="159" t="n"/>
      <c r="H14" s="159" t="n"/>
    </row>
    <row r="15" ht="18.75" customHeight="1">
      <c r="A15" s="311" t="n"/>
      <c r="B15" s="367" t="n"/>
      <c r="C15" s="367" t="n"/>
      <c r="D15" s="367" t="n"/>
      <c r="E15" s="369" t="n"/>
      <c r="F15" s="159" t="n"/>
      <c r="G15" s="159" t="n"/>
      <c r="H15" s="159" t="n"/>
    </row>
    <row r="16" ht="18.75" customHeight="1">
      <c r="A16" s="310" t="inlineStr">
        <is>
          <t>Today's Opportunities</t>
        </is>
      </c>
      <c r="B16" s="367" t="n"/>
      <c r="C16" s="367" t="n"/>
      <c r="D16" s="367" t="n"/>
      <c r="E16" s="369" t="n"/>
      <c r="F16" s="159" t="n"/>
      <c r="G16" s="159" t="n"/>
      <c r="H16" s="159" t="n"/>
    </row>
    <row r="17" ht="18.75" customHeight="1">
      <c r="A17" s="311" t="inlineStr">
        <is>
          <t>Fire alarm impacted business today as employees and consumers had to evacuate</t>
        </is>
      </c>
      <c r="B17" s="367" t="n"/>
      <c r="C17" s="367" t="n"/>
      <c r="D17" s="367" t="n"/>
      <c r="E17" s="369" t="n"/>
      <c r="F17" s="159" t="n"/>
      <c r="G17" s="159" t="n"/>
      <c r="H17" s="159" t="n"/>
    </row>
    <row r="18" ht="18.75" customHeight="1">
      <c r="A18" s="311" t="inlineStr">
        <is>
          <t>On Shelf Availability was at 85%, please prioritize tomorrow and ensure all refill suggestions are completed</t>
        </is>
      </c>
      <c r="B18" s="367" t="n"/>
      <c r="C18" s="367" t="n"/>
      <c r="D18" s="367" t="n"/>
      <c r="E18" s="369" t="n"/>
      <c r="F18" s="159" t="n"/>
      <c r="G18" s="159" t="n"/>
      <c r="H18" s="159" t="n"/>
    </row>
    <row r="19" ht="18.75" customHeight="1">
      <c r="A19" s="311" t="n"/>
      <c r="B19" s="367" t="n"/>
      <c r="C19" s="367" t="n"/>
      <c r="D19" s="367" t="n"/>
      <c r="E19" s="369" t="n"/>
      <c r="F19" s="159" t="n"/>
      <c r="G19" s="159" t="n"/>
      <c r="H19" s="159" t="n"/>
    </row>
    <row r="20" ht="18.75" customHeight="1">
      <c r="A20" s="310" t="inlineStr">
        <is>
          <t>People</t>
        </is>
      </c>
      <c r="B20" s="367" t="n"/>
      <c r="C20" s="367" t="n"/>
      <c r="D20" s="367" t="n"/>
      <c r="E20" s="369" t="n"/>
      <c r="F20" s="159" t="n"/>
      <c r="G20" s="159" t="n"/>
      <c r="H20" s="159" t="n"/>
    </row>
    <row r="21" ht="18.75" customHeight="1">
      <c r="A21" s="311" t="inlineStr">
        <is>
          <t>Griffin, Roryann and Chloe were trained today on P&amp;P, Personal Conduct, SEAMS, Zoning</t>
        </is>
      </c>
      <c r="B21" s="367" t="n"/>
      <c r="C21" s="367" t="n"/>
      <c r="D21" s="367" t="n"/>
      <c r="E21" s="369" t="n"/>
      <c r="F21" s="159" t="n"/>
      <c r="G21" s="159" t="n"/>
      <c r="H21" s="159" t="n"/>
    </row>
    <row r="22" ht="18.75" customHeight="1">
      <c r="A22" s="311" t="inlineStr">
        <is>
          <t>Sam and Nicole were unable to complete Learning Lab observations. Please prioritize for tomorrow</t>
        </is>
      </c>
      <c r="B22" s="367" t="n"/>
      <c r="C22" s="367" t="n"/>
      <c r="D22" s="367" t="n"/>
      <c r="E22" s="369" t="n"/>
      <c r="F22" s="159" t="n"/>
      <c r="G22" s="159" t="n"/>
      <c r="H22" s="159" t="n"/>
    </row>
    <row r="23" ht="18.75" customHeight="1">
      <c r="A23" s="311" t="n"/>
      <c r="B23" s="367" t="n"/>
      <c r="C23" s="367" t="n"/>
      <c r="D23" s="367" t="n"/>
      <c r="E23" s="369" t="n"/>
      <c r="F23" s="159" t="n"/>
      <c r="G23" s="159" t="n"/>
      <c r="H23" s="159" t="n"/>
    </row>
    <row r="24" ht="18.75" customHeight="1">
      <c r="A24" s="310" t="inlineStr">
        <is>
          <t>Consumer Experience</t>
        </is>
      </c>
      <c r="B24" s="367" t="n"/>
      <c r="C24" s="367" t="n"/>
      <c r="D24" s="367" t="n"/>
      <c r="E24" s="369" t="n"/>
      <c r="F24" s="159" t="n"/>
      <c r="G24" s="159" t="n"/>
      <c r="H24" s="159" t="n"/>
    </row>
    <row r="25" ht="18.75" customHeight="1">
      <c r="A25" s="311" t="inlineStr">
        <is>
          <t>Evening traffic picked up due to the Drake concert tonight. Consumers looking for last minute outfits</t>
        </is>
      </c>
      <c r="B25" s="367" t="n"/>
      <c r="C25" s="367" t="n"/>
      <c r="D25" s="367" t="n"/>
      <c r="E25" s="369" t="n"/>
      <c r="F25" s="159" t="n"/>
      <c r="G25" s="159" t="n"/>
      <c r="H25" s="159" t="n"/>
    </row>
    <row r="26" ht="18.75" customHeight="1">
      <c r="A26" s="311" t="inlineStr">
        <is>
          <t>We are seeing a strong appetite in the 502 Tapers from our consumer</t>
        </is>
      </c>
      <c r="B26" s="367" t="n"/>
      <c r="C26" s="367" t="n"/>
      <c r="D26" s="367" t="n"/>
      <c r="E26" s="369" t="n"/>
      <c r="F26" s="159" t="n"/>
      <c r="G26" s="159" t="n"/>
      <c r="H26" s="159" t="n"/>
    </row>
    <row r="27" ht="18.75" customHeight="1">
      <c r="A27" s="311" t="n"/>
      <c r="B27" s="367" t="n"/>
      <c r="C27" s="367" t="n"/>
      <c r="D27" s="367" t="n"/>
      <c r="E27" s="369" t="n"/>
      <c r="F27" s="159" t="n"/>
      <c r="G27" s="159" t="n"/>
      <c r="H27" s="159" t="n"/>
    </row>
    <row r="28" ht="18.75" customHeight="1">
      <c r="A28" s="310" t="inlineStr">
        <is>
          <t>Operations</t>
        </is>
      </c>
      <c r="B28" s="367" t="n"/>
      <c r="C28" s="367" t="n"/>
      <c r="D28" s="367" t="n"/>
      <c r="E28" s="369" t="n"/>
      <c r="F28" s="159" t="n"/>
      <c r="G28" s="159" t="n"/>
      <c r="H28" s="159" t="n"/>
    </row>
    <row r="29" ht="18.75" customHeight="1">
      <c r="A29" s="311" t="inlineStr">
        <is>
          <t>25 boxes were received and processed</t>
        </is>
      </c>
      <c r="B29" s="367" t="n"/>
      <c r="C29" s="367" t="n"/>
      <c r="D29" s="367" t="n"/>
      <c r="E29" s="369" t="n"/>
      <c r="F29" s="159" t="n"/>
      <c r="G29" s="159" t="n"/>
      <c r="H29" s="159" t="n"/>
    </row>
    <row r="30" ht="18.75" customHeight="1">
      <c r="A30" s="311" t="inlineStr">
        <is>
          <t>SFS glitch has been resolved. Resume processing orders tomorrow</t>
        </is>
      </c>
      <c r="B30" s="367" t="n"/>
      <c r="C30" s="367" t="n"/>
      <c r="D30" s="367" t="n"/>
      <c r="E30" s="369" t="n"/>
      <c r="F30" s="159" t="n"/>
      <c r="G30" s="159" t="n"/>
      <c r="H30" s="159" t="n"/>
    </row>
    <row r="31" ht="18.75" customHeight="1">
      <c r="A31" s="311" t="n"/>
      <c r="B31" s="367" t="n"/>
      <c r="C31" s="367" t="n"/>
      <c r="D31" s="367" t="n"/>
      <c r="E31" s="369" t="n"/>
      <c r="F31" s="159" t="n"/>
      <c r="G31" s="159" t="n"/>
      <c r="H31" s="159" t="n"/>
    </row>
    <row r="32" ht="18.75" customHeight="1">
      <c r="A32" s="312" t="n"/>
      <c r="B32" s="68" t="n"/>
      <c r="C32" s="68" t="n"/>
      <c r="D32" s="2" t="n"/>
      <c r="E32" s="68" t="n"/>
      <c r="F32" s="159" t="n"/>
      <c r="G32" s="159" t="n"/>
      <c r="H32" s="159" t="n"/>
    </row>
    <row r="33" ht="18.75" customHeight="1">
      <c r="A33" s="312" t="n"/>
      <c r="B33" s="68" t="n"/>
      <c r="C33" s="68" t="n"/>
      <c r="D33" s="2" t="n"/>
      <c r="E33" s="68" t="n"/>
      <c r="F33" s="159" t="n"/>
      <c r="G33" s="159" t="n"/>
      <c r="H33" s="159" t="n"/>
    </row>
    <row r="34" ht="18.75" customHeight="1">
      <c r="A34" s="312" t="n"/>
      <c r="B34" s="68" t="n"/>
      <c r="C34" s="68" t="n"/>
      <c r="D34" s="2" t="n"/>
      <c r="E34" s="68" t="n"/>
      <c r="F34" s="159" t="n"/>
      <c r="G34" s="159" t="n"/>
      <c r="H34" s="159" t="n"/>
    </row>
    <row r="35" ht="18.75" customHeight="1">
      <c r="A35" s="312" t="n"/>
      <c r="B35" s="68" t="n"/>
      <c r="C35" s="68" t="n"/>
      <c r="D35" s="2" t="n"/>
      <c r="E35" s="68" t="n"/>
      <c r="F35" s="159" t="n"/>
      <c r="G35" s="159" t="n"/>
      <c r="H35" s="159" t="n"/>
    </row>
    <row r="36" ht="18.75" customHeight="1">
      <c r="A36" s="312" t="n"/>
      <c r="B36" s="68" t="n"/>
      <c r="C36" s="68" t="n"/>
      <c r="D36" s="2" t="n"/>
      <c r="E36" s="68" t="n"/>
      <c r="F36" s="159" t="n"/>
      <c r="G36" s="159" t="n"/>
      <c r="H36" s="159" t="n"/>
    </row>
    <row r="37" ht="18.75" customHeight="1">
      <c r="A37" s="312" t="n"/>
      <c r="B37" s="68" t="n"/>
      <c r="C37" s="68" t="n"/>
      <c r="D37" s="2" t="n"/>
      <c r="E37" s="68" t="n"/>
      <c r="F37" s="159" t="n"/>
      <c r="G37" s="159" t="n"/>
      <c r="H37" s="159" t="n"/>
    </row>
    <row r="38" ht="18.75" customHeight="1">
      <c r="A38" s="312" t="n"/>
      <c r="B38" s="68" t="n"/>
      <c r="C38" s="68" t="n"/>
      <c r="D38" s="2" t="n"/>
      <c r="E38" s="68" t="n"/>
      <c r="F38" s="159" t="n"/>
      <c r="G38" s="159" t="n"/>
      <c r="H38" s="159" t="n"/>
    </row>
    <row r="39" ht="18.75" customHeight="1">
      <c r="A39" s="312" t="n"/>
      <c r="B39" s="68" t="n"/>
      <c r="C39" s="68" t="n"/>
      <c r="D39" s="2" t="n"/>
      <c r="E39" s="68" t="n"/>
      <c r="F39" s="159" t="n"/>
      <c r="G39" s="159" t="n"/>
      <c r="H39" s="159" t="n"/>
    </row>
    <row r="40" ht="18.75" customHeight="1">
      <c r="A40" s="312" t="n"/>
      <c r="B40" s="68" t="n"/>
      <c r="C40" s="68" t="n"/>
      <c r="D40" s="2" t="n"/>
      <c r="E40" s="68" t="n"/>
      <c r="F40" s="159" t="n"/>
      <c r="G40" s="159" t="n"/>
      <c r="H40" s="159" t="n"/>
    </row>
    <row r="41" ht="18.75" customHeight="1">
      <c r="A41" s="312" t="n"/>
      <c r="B41" s="68" t="n"/>
      <c r="C41" s="68" t="n"/>
      <c r="D41" s="2" t="n"/>
      <c r="E41" s="68" t="n"/>
      <c r="F41" s="159" t="n"/>
      <c r="G41" s="159" t="n"/>
      <c r="H41" s="159" t="n"/>
    </row>
    <row r="42" ht="18.75" customHeight="1">
      <c r="A42" s="312" t="n"/>
      <c r="B42" s="68" t="n"/>
      <c r="C42" s="68" t="n"/>
      <c r="D42" s="2" t="n"/>
      <c r="E42" s="68" t="n"/>
      <c r="F42" s="159" t="n"/>
      <c r="G42" s="159" t="n"/>
      <c r="H42" s="159" t="n"/>
    </row>
    <row r="43" ht="18.75" customHeight="1">
      <c r="A43" s="312" t="n"/>
      <c r="B43" s="68" t="n"/>
      <c r="C43" s="68" t="n"/>
      <c r="D43" s="2" t="n"/>
      <c r="E43" s="68" t="n"/>
      <c r="F43" s="159" t="n"/>
      <c r="G43" s="159" t="n"/>
      <c r="H43" s="159" t="n"/>
    </row>
    <row r="44" ht="18.75" customHeight="1">
      <c r="A44" s="312" t="n"/>
      <c r="B44" s="68" t="n"/>
      <c r="C44" s="68" t="n"/>
      <c r="D44" s="2" t="n"/>
      <c r="E44" s="68" t="n"/>
      <c r="F44" s="159" t="n"/>
      <c r="G44" s="159" t="n"/>
      <c r="H44" s="159" t="n"/>
    </row>
    <row r="45" ht="18.75" customHeight="1">
      <c r="A45" s="312" t="n"/>
      <c r="B45" s="68" t="n"/>
      <c r="C45" s="68" t="n"/>
      <c r="D45" s="2" t="n"/>
      <c r="E45" s="68" t="n"/>
      <c r="F45" s="159" t="n"/>
      <c r="G45" s="159" t="n"/>
      <c r="H45" s="159" t="n"/>
    </row>
    <row r="46" ht="18.75" customHeight="1">
      <c r="A46" s="312" t="n"/>
      <c r="B46" s="68" t="n"/>
      <c r="C46" s="68" t="n"/>
      <c r="D46" s="2" t="n"/>
      <c r="E46" s="68" t="n"/>
      <c r="F46" s="159" t="n"/>
      <c r="G46" s="159" t="n"/>
      <c r="H46" s="159" t="n"/>
    </row>
  </sheetData>
  <mergeCells count="27">
    <mergeCell ref="A30:E30"/>
    <mergeCell ref="A24:E24"/>
    <mergeCell ref="A15:E15"/>
    <mergeCell ref="A11:E11"/>
    <mergeCell ref="A1:H1"/>
    <mergeCell ref="A16:E16"/>
    <mergeCell ref="A7:E7"/>
    <mergeCell ref="A25:E25"/>
    <mergeCell ref="A18:E18"/>
    <mergeCell ref="A27:E27"/>
    <mergeCell ref="A3:E3"/>
    <mergeCell ref="A21:E21"/>
    <mergeCell ref="A12:E12"/>
    <mergeCell ref="A26:E26"/>
    <mergeCell ref="A5:E5"/>
    <mergeCell ref="A23:E23"/>
    <mergeCell ref="A14:E14"/>
    <mergeCell ref="A8:E8"/>
    <mergeCell ref="A22:E22"/>
    <mergeCell ref="A17:E17"/>
    <mergeCell ref="A29:E29"/>
    <mergeCell ref="A4:E4"/>
    <mergeCell ref="A20:E20"/>
    <mergeCell ref="A28:E28"/>
    <mergeCell ref="A19:E19"/>
    <mergeCell ref="A13:E13"/>
    <mergeCell ref="A31:E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X59"/>
  <sheetViews>
    <sheetView workbookViewId="0">
      <selection activeCell="A1" sqref="A1"/>
    </sheetView>
  </sheetViews>
  <sheetFormatPr baseColWidth="8" defaultRowHeight="15"/>
  <cols>
    <col width="40.86214285714286" bestFit="1" customWidth="1" style="159" min="1" max="1"/>
    <col width="34.57642857142857" bestFit="1" customWidth="1" style="160" min="2" max="2"/>
    <col width="1.576428571428571" bestFit="1" customWidth="1" style="161" min="3" max="3"/>
    <col width="5.147857142857143" bestFit="1" customWidth="1" style="159" min="4" max="4"/>
    <col width="5.147857142857143" bestFit="1" customWidth="1" style="159" min="5" max="5"/>
    <col width="5.147857142857143" bestFit="1" customWidth="1" style="159" min="6" max="6"/>
    <col width="5.147857142857143" bestFit="1" customWidth="1" style="159" min="7" max="7"/>
    <col width="29.005" bestFit="1" customWidth="1" style="159" min="8" max="8"/>
    <col width="21.005" bestFit="1" customWidth="1" style="162" min="9" max="9"/>
    <col width="16.29071428571428" bestFit="1" customWidth="1" style="294" min="10" max="10"/>
    <col width="15.57642857142857" bestFit="1" customWidth="1" style="160" min="11" max="11"/>
    <col width="15.57642857142857" bestFit="1" customWidth="1" style="295" min="12" max="12"/>
    <col width="15.57642857142857" bestFit="1" customWidth="1" style="295" min="13" max="13"/>
    <col width="15.57642857142857" bestFit="1" customWidth="1" style="160" min="14" max="14"/>
    <col width="15.57642857142857" bestFit="1" customWidth="1" style="295" min="15" max="15"/>
    <col width="15.57642857142857" bestFit="1" customWidth="1" style="160" min="16" max="16"/>
    <col width="15.57642857142857" bestFit="1" customWidth="1" style="160" min="17" max="17"/>
    <col width="15.57642857142857" bestFit="1" customWidth="1" style="160" min="18" max="18"/>
    <col width="15.57642857142857" bestFit="1" customWidth="1" style="295" min="19" max="19"/>
    <col width="15.57642857142857" bestFit="1" customWidth="1" style="295" min="20" max="20"/>
    <col width="15.57642857142857" bestFit="1" customWidth="1" style="295" min="21" max="21"/>
    <col width="15.57642857142857" bestFit="1" customWidth="1" style="295" min="22" max="22"/>
    <col width="34.86214285714286" bestFit="1" customWidth="1" style="166" min="23" max="23"/>
    <col hidden="1" width="12.43357142857143" bestFit="1" customWidth="1" style="167" min="24" max="24"/>
  </cols>
  <sheetData>
    <row r="1" ht="19.5" customHeight="1">
      <c r="A1" s="159" t="n"/>
      <c r="B1" s="2" t="n"/>
      <c r="C1" s="3" t="n"/>
      <c r="D1" s="159" t="n"/>
      <c r="E1" s="168" t="n"/>
      <c r="F1" s="159" t="n"/>
      <c r="G1" s="159" t="n"/>
      <c r="H1" s="5" t="n"/>
      <c r="X1" s="11" t="n"/>
    </row>
    <row r="2" ht="23.25" customHeight="1">
      <c r="A2" s="12" t="inlineStr">
        <is>
          <t>T O D A Y ' S   G O A L S</t>
        </is>
      </c>
      <c r="B2" s="370" t="n"/>
      <c r="C2" s="3" t="n"/>
      <c r="D2" s="159" t="n"/>
      <c r="E2" s="159" t="n"/>
      <c r="F2" s="159" t="n"/>
      <c r="G2" s="159" t="n"/>
      <c r="H2" s="14" t="inlineStr">
        <is>
          <t>H O U R L Y   S E G M E N T S</t>
        </is>
      </c>
      <c r="I2" s="361" t="n"/>
      <c r="J2" s="361" t="n"/>
      <c r="K2" s="361" t="n"/>
      <c r="L2" s="361" t="n"/>
      <c r="M2" s="361" t="n"/>
      <c r="N2" s="361" t="n"/>
      <c r="O2" s="361" t="n"/>
      <c r="P2" s="361" t="n"/>
      <c r="Q2" s="361" t="n"/>
      <c r="R2" s="361" t="n"/>
      <c r="S2" s="361" t="n"/>
      <c r="T2" s="361" t="n"/>
      <c r="U2" s="361" t="n"/>
      <c r="V2" s="361" t="n"/>
      <c r="W2" s="362" t="n"/>
      <c r="X2" s="19" t="n"/>
    </row>
    <row r="3" ht="20.25" customHeight="1">
      <c r="A3" s="20" t="inlineStr">
        <is>
          <t>DATE</t>
        </is>
      </c>
      <c r="B3" s="170" t="inlineStr">
        <is>
          <t>05.26.2025</t>
        </is>
      </c>
      <c r="C3" s="3" t="n"/>
      <c r="D3" s="159" t="n"/>
      <c r="E3" s="159" t="n"/>
      <c r="F3" s="159" t="n"/>
      <c r="G3" s="159" t="n"/>
      <c r="H3" s="23" t="inlineStr">
        <is>
          <t>HOURS OF OPERATIONS</t>
        </is>
      </c>
      <c r="I3" s="362" t="n"/>
      <c r="J3" s="197" t="n"/>
      <c r="K3" s="25" t="inlineStr">
        <is>
          <t>9am - 10am</t>
        </is>
      </c>
      <c r="L3" s="24" t="inlineStr">
        <is>
          <t>10am - 11am</t>
        </is>
      </c>
      <c r="M3" s="24" t="inlineStr">
        <is>
          <t>11am - 12pm</t>
        </is>
      </c>
      <c r="N3" s="25" t="inlineStr">
        <is>
          <t>12pm - 1pm</t>
        </is>
      </c>
      <c r="O3" s="24" t="inlineStr">
        <is>
          <t>1pm - 2pm</t>
        </is>
      </c>
      <c r="P3" s="25" t="inlineStr">
        <is>
          <t>2pm - 3pm</t>
        </is>
      </c>
      <c r="Q3" s="25" t="inlineStr">
        <is>
          <t>3pm - 4pm</t>
        </is>
      </c>
      <c r="R3" s="25" t="inlineStr">
        <is>
          <t>4pm - 5pm</t>
        </is>
      </c>
      <c r="S3" s="24" t="inlineStr">
        <is>
          <t>5pm - 6pm</t>
        </is>
      </c>
      <c r="T3" s="24" t="inlineStr">
        <is>
          <t>6pm - 7pm</t>
        </is>
      </c>
      <c r="U3" s="24" t="inlineStr">
        <is>
          <t>7pm - 8pm</t>
        </is>
      </c>
      <c r="V3" s="24" t="inlineStr">
        <is>
          <t>8pm - 9pm</t>
        </is>
      </c>
      <c r="W3" s="27">
        <f>SUM(L4:V4)</f>
        <v/>
      </c>
      <c r="X3" s="19" t="n"/>
    </row>
    <row r="4" ht="33.75" customHeight="1">
      <c r="A4" s="30" t="inlineStr">
        <is>
          <t>DAY SALES TARGET</t>
        </is>
      </c>
      <c r="B4" s="31" t="n">
        <v>8226</v>
      </c>
      <c r="C4" s="32" t="n"/>
      <c r="D4" s="33" t="n"/>
      <c r="E4" s="33" t="n"/>
      <c r="F4" s="33" t="n"/>
      <c r="G4" s="33" t="n"/>
      <c r="H4" s="34" t="inlineStr">
        <is>
          <t>HOURLY SALES CONTRIBUTION %</t>
        </is>
      </c>
      <c r="I4" s="368" t="n"/>
      <c r="J4" s="198" t="n"/>
      <c r="K4" s="36" t="n">
        <v>0</v>
      </c>
      <c r="L4" s="36" t="n">
        <v>0.04</v>
      </c>
      <c r="M4" s="36" t="n">
        <v>0.08</v>
      </c>
      <c r="N4" s="36" t="n">
        <v>0.1</v>
      </c>
      <c r="O4" s="36" t="n">
        <v>0.1</v>
      </c>
      <c r="P4" s="36" t="n">
        <v>0.12</v>
      </c>
      <c r="Q4" s="36" t="n">
        <v>0.12</v>
      </c>
      <c r="R4" s="36" t="n">
        <v>0.12</v>
      </c>
      <c r="S4" s="36" t="n">
        <v>0.1</v>
      </c>
      <c r="T4" s="36" t="n">
        <v>0.09</v>
      </c>
      <c r="U4" s="36" t="n">
        <v>0.08</v>
      </c>
      <c r="V4" s="36" t="n">
        <v>0.05</v>
      </c>
      <c r="W4" s="37" t="inlineStr">
        <is>
          <t>NOTES &amp; OBSERVATIONS
Complete throughout the day</t>
        </is>
      </c>
      <c r="X4" s="28" t="n"/>
    </row>
    <row r="5" ht="27" customHeight="1">
      <c r="A5" s="30" t="inlineStr">
        <is>
          <t>STRETCH TARGET</t>
        </is>
      </c>
      <c r="B5" s="31" t="n">
        <v>12000</v>
      </c>
      <c r="C5" s="3" t="n"/>
      <c r="D5" s="33" t="n"/>
      <c r="E5" s="33" t="n"/>
      <c r="F5" s="33" t="n"/>
      <c r="G5" s="33" t="n"/>
      <c r="H5" s="34" t="inlineStr">
        <is>
          <t>CUMULATIVE SALES TARGET</t>
        </is>
      </c>
      <c r="I5" s="368" t="n"/>
      <c r="J5" s="198" t="n"/>
      <c r="K5" s="38">
        <f>K4*B4</f>
        <v/>
      </c>
      <c r="L5" s="38">
        <f>SUM(K$4:L$4)*$B$4</f>
        <v/>
      </c>
      <c r="M5" s="38">
        <f>SUM(K4:M4)*$B$4</f>
        <v/>
      </c>
      <c r="N5" s="38">
        <f>SUM(K4:N4)*$B$4</f>
        <v/>
      </c>
      <c r="O5" s="38">
        <f>SUM(K4:O4)*$B$4</f>
        <v/>
      </c>
      <c r="P5" s="38">
        <f>SUM(K4:P4)*$B$4</f>
        <v/>
      </c>
      <c r="Q5" s="38">
        <f>SUM(K4:Q4)*$B$4</f>
        <v/>
      </c>
      <c r="R5" s="38">
        <f>SUM(K4:R4)*$B$4</f>
        <v/>
      </c>
      <c r="S5" s="38">
        <f>SUM(K4:S4)*$B$4</f>
        <v/>
      </c>
      <c r="T5" s="38">
        <f>SUM(K4:T4)*$B$4</f>
        <v/>
      </c>
      <c r="U5" s="38">
        <f>SUM(K4:U4)*$B$4</f>
        <v/>
      </c>
      <c r="V5" s="38">
        <f>SUM(K4:V4)*$B$4</f>
        <v/>
      </c>
      <c r="W5" s="39" t="n"/>
      <c r="X5" s="28" t="n"/>
    </row>
    <row r="6" ht="27" customHeight="1">
      <c r="A6" s="30" t="inlineStr">
        <is>
          <t>LAST YEAR SALES</t>
        </is>
      </c>
      <c r="B6" s="31" t="n">
        <v>7000</v>
      </c>
      <c r="C6" s="40">
        <f>B5/B4</f>
        <v/>
      </c>
      <c r="D6" s="43" t="inlineStr">
        <is>
          <t>LEARNING LAB: BEHAVIOURS &amp; OBSERVATIONS</t>
        </is>
      </c>
      <c r="E6" s="41" t="n"/>
      <c r="F6" s="41" t="n"/>
      <c r="G6" s="41" t="n"/>
      <c r="H6" s="34" t="inlineStr">
        <is>
          <t>CUMULATIVE STRETCH TARGET</t>
        </is>
      </c>
      <c r="I6" s="368" t="n"/>
      <c r="J6" s="198" t="n"/>
      <c r="K6" s="38">
        <f>K4*B5</f>
        <v/>
      </c>
      <c r="L6" s="38">
        <f>SUM(K4:L4)*$B$5</f>
        <v/>
      </c>
      <c r="M6" s="38">
        <f>SUM(K4:M4)*$B$5</f>
        <v/>
      </c>
      <c r="N6" s="38">
        <f>SUM(K4:N4)*$B$5</f>
        <v/>
      </c>
      <c r="O6" s="38">
        <f>SUM(K4:O4)*$B$5</f>
        <v/>
      </c>
      <c r="P6" s="38">
        <f>SUM(K4:P4)*$B$5</f>
        <v/>
      </c>
      <c r="Q6" s="38">
        <f>SUM(K4:Q4)*$B$5</f>
        <v/>
      </c>
      <c r="R6" s="38">
        <f>SUM(K4:R4)*$B$5</f>
        <v/>
      </c>
      <c r="S6" s="38">
        <f>SUM(K4:S4)*$B$5</f>
        <v/>
      </c>
      <c r="T6" s="38">
        <f>SUM(K4:T4)*$B$5</f>
        <v/>
      </c>
      <c r="U6" s="38">
        <f>SUM(K4:U4)*$B$5</f>
        <v/>
      </c>
      <c r="V6" s="38">
        <f>SUM(K4:V4)*$B$5</f>
        <v/>
      </c>
      <c r="W6" s="39" t="n"/>
      <c r="X6" s="28" t="n"/>
    </row>
    <row r="7" ht="27" customHeight="1">
      <c r="A7" s="30" t="inlineStr">
        <is>
          <t>LAST YEAR TRAFFIC</t>
        </is>
      </c>
      <c r="B7" s="42" t="n">
        <v>800</v>
      </c>
      <c r="C7" s="3" t="n"/>
      <c r="E7" s="33" t="n"/>
      <c r="F7" s="33" t="n"/>
      <c r="G7" s="33" t="n"/>
      <c r="H7" s="44" t="inlineStr">
        <is>
          <t>CUMULATIVE SALES ACTUAL</t>
        </is>
      </c>
      <c r="I7" s="368" t="n"/>
      <c r="J7" s="201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171" t="n"/>
      <c r="W7" s="39" t="n"/>
      <c r="X7" s="28" t="n"/>
    </row>
    <row r="8" ht="27" customHeight="1">
      <c r="A8" s="30" t="inlineStr">
        <is>
          <t>CURRENT TRAFFIC TREND (+/-)</t>
        </is>
      </c>
      <c r="B8" s="46" t="n">
        <v>0.1</v>
      </c>
      <c r="C8" s="3" t="n"/>
      <c r="E8" s="43" t="inlineStr">
        <is>
          <t>1ST BREAK TAKEN</t>
        </is>
      </c>
      <c r="F8" s="43" t="inlineStr">
        <is>
          <t>CHAT OUT</t>
        </is>
      </c>
      <c r="G8" s="43" t="inlineStr">
        <is>
          <t>OTHER:SMART GOAL MET</t>
        </is>
      </c>
      <c r="H8" s="44" t="inlineStr">
        <is>
          <t>TRAFFIC</t>
        </is>
      </c>
      <c r="I8" s="368" t="n"/>
      <c r="J8" s="201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172" t="n"/>
      <c r="W8" s="39" t="n"/>
      <c r="X8" s="28" t="n"/>
    </row>
    <row r="9" ht="27" customHeight="1">
      <c r="A9" s="30" t="inlineStr">
        <is>
          <t>PROJECTED TRAFFIC</t>
        </is>
      </c>
      <c r="B9" s="48" t="n">
        <v>1200</v>
      </c>
      <c r="C9" s="3" t="n"/>
      <c r="H9" s="44" t="inlineStr">
        <is>
          <t>TRANSACTIONS</t>
        </is>
      </c>
      <c r="I9" s="368" t="n"/>
      <c r="J9" s="201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172" t="n"/>
      <c r="W9" s="39" t="n"/>
      <c r="X9" s="28" t="n"/>
    </row>
    <row r="10" ht="27" customHeight="1">
      <c r="A10" s="30" t="inlineStr">
        <is>
          <t>TRANSACTION GOAL</t>
        </is>
      </c>
      <c r="B10" s="48">
        <f>B11*B9</f>
        <v/>
      </c>
      <c r="C10" s="3" t="n"/>
      <c r="H10" s="44" t="inlineStr">
        <is>
          <t>CONVERSION</t>
        </is>
      </c>
      <c r="I10" s="368" t="n"/>
      <c r="J10" s="201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173" t="n"/>
      <c r="W10" s="39" t="n"/>
      <c r="X10" s="28" t="n"/>
    </row>
    <row r="11" ht="27" customHeight="1">
      <c r="A11" s="30" t="inlineStr">
        <is>
          <t>CONVERSION TARGET</t>
        </is>
      </c>
      <c r="B11" s="46" t="n">
        <v>0.2</v>
      </c>
      <c r="C11" s="29" t="n"/>
      <c r="H11" s="44" t="inlineStr">
        <is>
          <t>UPT</t>
        </is>
      </c>
      <c r="I11" s="368" t="n"/>
      <c r="J11" s="201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174" t="n"/>
      <c r="W11" s="51" t="n"/>
      <c r="X11" s="28" t="n"/>
    </row>
    <row r="12" ht="27" customHeight="1">
      <c r="A12" s="30" t="inlineStr">
        <is>
          <t>UPT</t>
        </is>
      </c>
      <c r="B12" s="52" t="n">
        <v>2</v>
      </c>
      <c r="C12" s="29" t="n"/>
      <c r="H12" s="44" t="inlineStr">
        <is>
          <t>ATV</t>
        </is>
      </c>
      <c r="I12" s="368" t="n"/>
      <c r="J12" s="201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171" t="n"/>
      <c r="W12" s="51" t="n"/>
      <c r="X12" s="28" t="n"/>
    </row>
    <row r="13" ht="27.75" customHeight="1">
      <c r="A13" s="53" t="inlineStr">
        <is>
          <t>ATV</t>
        </is>
      </c>
      <c r="B13" s="54" t="n">
        <v>100</v>
      </c>
      <c r="C13" s="3" t="n"/>
      <c r="H13" s="44" t="inlineStr">
        <is>
          <t>OTHER: _________________</t>
        </is>
      </c>
      <c r="I13" s="368" t="n"/>
      <c r="J13" s="202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171" t="n"/>
      <c r="W13" s="51" t="n"/>
      <c r="X13" s="56" t="n"/>
    </row>
    <row r="14" ht="23.25" customHeight="1">
      <c r="A14" s="57" t="inlineStr">
        <is>
          <t>M O N T H   T O   D A T E   P E R F O R M A N C E</t>
        </is>
      </c>
      <c r="B14" s="371" t="n"/>
      <c r="C14" s="3" t="n"/>
      <c r="H14" s="59" t="inlineStr">
        <is>
          <t>CEL SIGN-OFF (INITIALS)</t>
        </is>
      </c>
      <c r="I14" s="372" t="n"/>
      <c r="J14" s="203" t="n"/>
      <c r="K14" s="61" t="n"/>
      <c r="L14" s="61" t="n"/>
      <c r="M14" s="61" t="n"/>
      <c r="N14" s="61" t="n"/>
      <c r="O14" s="61" t="n"/>
      <c r="P14" s="61" t="n"/>
      <c r="Q14" s="61" t="n"/>
      <c r="R14" s="61" t="n"/>
      <c r="S14" s="61" t="n"/>
      <c r="T14" s="61" t="n"/>
      <c r="U14" s="61" t="n"/>
      <c r="V14" s="61" t="n"/>
      <c r="W14" s="62" t="n"/>
      <c r="X14" s="56" t="n"/>
    </row>
    <row r="15" ht="27" customHeight="1">
      <c r="A15" s="20" t="inlineStr">
        <is>
          <t>MONTH SALES PLAN</t>
        </is>
      </c>
      <c r="B15" s="63" t="n">
        <v>453745</v>
      </c>
      <c r="C15" s="3" t="n"/>
      <c r="H15" s="159" t="n"/>
      <c r="I15" s="64" t="n"/>
      <c r="J15" s="284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  <c r="W15" s="2" t="n"/>
      <c r="X15" s="56" t="n"/>
    </row>
    <row r="16" ht="27" customHeight="1">
      <c r="A16" s="30" t="inlineStr">
        <is>
          <t>MONTH TO DATE SALES</t>
        </is>
      </c>
      <c r="B16" s="31" t="n"/>
      <c r="C16" s="3" t="n"/>
      <c r="H16" s="69" t="inlineStr">
        <is>
          <t>Z O N E   C H A R T</t>
        </is>
      </c>
      <c r="I16" s="373" t="n"/>
      <c r="J16" s="373" t="n"/>
      <c r="K16" s="373" t="n"/>
      <c r="L16" s="373" t="n"/>
      <c r="M16" s="373" t="n"/>
      <c r="N16" s="373" t="n"/>
      <c r="O16" s="373" t="n"/>
      <c r="P16" s="373" t="n"/>
      <c r="Q16" s="373" t="n"/>
      <c r="R16" s="373" t="n"/>
      <c r="S16" s="373" t="n"/>
      <c r="T16" s="373" t="n"/>
      <c r="U16" s="373" t="n"/>
      <c r="V16" s="373" t="n"/>
      <c r="W16" s="371" t="n"/>
      <c r="X16" s="56" t="n"/>
    </row>
    <row r="17" ht="27" customHeight="1">
      <c r="A17" s="30" t="inlineStr">
        <is>
          <t>% TO MONTH SALES PLAN</t>
        </is>
      </c>
      <c r="B17" s="205" t="n"/>
      <c r="C17" s="3" t="n"/>
      <c r="H17" s="177" t="inlineStr">
        <is>
          <t>Name</t>
        </is>
      </c>
      <c r="I17" s="75" t="inlineStr">
        <is>
          <t>Shift</t>
        </is>
      </c>
      <c r="J17" s="286" t="inlineStr">
        <is>
          <t>8am-9am</t>
        </is>
      </c>
      <c r="K17" s="76">
        <f>K$3</f>
        <v/>
      </c>
      <c r="L17" s="76">
        <f>L$3</f>
        <v/>
      </c>
      <c r="M17" s="76">
        <f>M$3</f>
        <v/>
      </c>
      <c r="N17" s="76">
        <f>N$3</f>
        <v/>
      </c>
      <c r="O17" s="76">
        <f>O$3</f>
        <v/>
      </c>
      <c r="P17" s="76">
        <f>P$3</f>
        <v/>
      </c>
      <c r="Q17" s="76">
        <f>Q$3</f>
        <v/>
      </c>
      <c r="R17" s="76">
        <f>R$3</f>
        <v/>
      </c>
      <c r="S17" s="76">
        <f>S$3</f>
        <v/>
      </c>
      <c r="T17" s="76">
        <f>T$3</f>
        <v/>
      </c>
      <c r="U17" s="76">
        <f>U$3</f>
        <v/>
      </c>
      <c r="V17" s="76">
        <f>V$3</f>
        <v/>
      </c>
      <c r="W17" s="79" t="inlineStr">
        <is>
          <t>Sales Target</t>
        </is>
      </c>
      <c r="X17" s="56" t="n"/>
    </row>
    <row r="18" ht="39" customHeight="1">
      <c r="A18" s="30" t="inlineStr">
        <is>
          <t>MONTH TO GO</t>
        </is>
      </c>
      <c r="B18" s="287" t="n"/>
      <c r="C18" s="3" t="n"/>
      <c r="H18" s="98" t="inlineStr">
        <is>
          <t>Camaso-Catalan, Lesley</t>
        </is>
      </c>
      <c r="I18" s="99" t="inlineStr">
        <is>
          <t>10:00 - 02:45</t>
        </is>
      </c>
      <c r="J18" s="215" t="inlineStr">
        <is>
          <t>1</t>
        </is>
      </c>
      <c r="K18" s="49" t="inlineStr">
        <is>
          <t>1</t>
        </is>
      </c>
      <c r="L18" s="49" t="inlineStr">
        <is>
          <t>1</t>
        </is>
      </c>
      <c r="M18" s="49" t="inlineStr">
        <is>
          <t>1</t>
        </is>
      </c>
      <c r="N18" s="49" t="inlineStr">
        <is>
          <t>1</t>
        </is>
      </c>
      <c r="O18" s="49" t="n">
        <v>1</v>
      </c>
      <c r="P18" s="49" t="n">
        <v>1</v>
      </c>
      <c r="Q18" s="49" t="n">
        <v>1</v>
      </c>
      <c r="R18" s="45" t="n"/>
      <c r="S18" s="45" t="n"/>
      <c r="T18" s="45" t="n"/>
      <c r="U18" s="45" t="n"/>
      <c r="V18" s="45" t="n"/>
      <c r="W18" s="89" t="n"/>
      <c r="X18" s="56" t="n"/>
    </row>
    <row r="19" ht="39" customHeight="1">
      <c r="A19" s="30" t="n"/>
      <c r="B19" s="80" t="n"/>
      <c r="C19" s="3" t="n"/>
      <c r="D19" s="149" t="n"/>
      <c r="E19" s="149" t="n"/>
      <c r="F19" s="149" t="n"/>
      <c r="G19" s="149" t="n"/>
      <c r="H19" s="98" t="inlineStr">
        <is>
          <t>Thompson, Sierra</t>
        </is>
      </c>
      <c r="I19" s="99" t="inlineStr">
        <is>
          <t>10:00 - 06:30</t>
        </is>
      </c>
      <c r="J19" s="215" t="inlineStr">
        <is>
          <t>1</t>
        </is>
      </c>
      <c r="K19" s="49" t="inlineStr">
        <is>
          <t>1</t>
        </is>
      </c>
      <c r="L19" s="49" t="inlineStr">
        <is>
          <t>1</t>
        </is>
      </c>
      <c r="M19" s="49" t="inlineStr">
        <is>
          <t>1</t>
        </is>
      </c>
      <c r="N19" s="49" t="inlineStr">
        <is>
          <t>1</t>
        </is>
      </c>
      <c r="O19" s="49" t="inlineStr">
        <is>
          <t>1</t>
        </is>
      </c>
      <c r="P19" s="49" t="inlineStr">
        <is>
          <t>1</t>
        </is>
      </c>
      <c r="Q19" s="49" t="inlineStr">
        <is>
          <t>1</t>
        </is>
      </c>
      <c r="R19" s="49" t="n"/>
      <c r="S19" s="45" t="n"/>
      <c r="T19" s="45" t="n"/>
      <c r="U19" s="45" t="n"/>
      <c r="V19" s="45" t="n"/>
      <c r="W19" s="89" t="n"/>
      <c r="X19" s="56" t="n"/>
    </row>
    <row r="20" ht="39" customHeight="1">
      <c r="A20" s="30" t="n"/>
      <c r="B20" s="80" t="n"/>
      <c r="C20" s="3" t="n"/>
      <c r="D20" s="149" t="n"/>
      <c r="E20" s="149" t="n"/>
      <c r="F20" s="149" t="n"/>
      <c r="G20" s="149" t="n"/>
      <c r="H20" s="98" t="inlineStr">
        <is>
          <t>Herbert, Rebecca</t>
        </is>
      </c>
      <c r="I20" s="99" t="inlineStr">
        <is>
          <t>10:00 - 02:45</t>
        </is>
      </c>
      <c r="J20" s="215" t="inlineStr">
        <is>
          <t>1</t>
        </is>
      </c>
      <c r="K20" s="45" t="inlineStr">
        <is>
          <t>1</t>
        </is>
      </c>
      <c r="L20" s="49" t="inlineStr">
        <is>
          <t>1</t>
        </is>
      </c>
      <c r="M20" s="288" t="inlineStr">
        <is>
          <t>1</t>
        </is>
      </c>
      <c r="N20" s="289" t="inlineStr">
        <is>
          <t>1</t>
        </is>
      </c>
      <c r="O20" s="289" t="n">
        <v>1</v>
      </c>
      <c r="P20" s="289" t="n">
        <v>1</v>
      </c>
      <c r="Q20" s="289" t="n">
        <v>1</v>
      </c>
      <c r="R20" s="45" t="n">
        <v>1</v>
      </c>
      <c r="S20" s="45" t="n">
        <v>1</v>
      </c>
      <c r="T20" s="45" t="n"/>
      <c r="U20" s="45" t="n"/>
      <c r="V20" s="45" t="n"/>
      <c r="W20" s="89" t="n"/>
      <c r="X20" s="56" t="n"/>
    </row>
    <row r="21" ht="39" customHeight="1">
      <c r="A21" s="94" t="n"/>
      <c r="B21" s="257">
        <f>B15+B18</f>
        <v/>
      </c>
      <c r="C21" s="3" t="n"/>
      <c r="D21" s="96" t="n"/>
      <c r="E21" s="96" t="n"/>
      <c r="F21" s="96" t="n"/>
      <c r="G21" s="97" t="n"/>
      <c r="H21" s="98" t="inlineStr">
        <is>
          <t>Amershi, Ellah</t>
        </is>
      </c>
      <c r="I21" s="99" t="inlineStr">
        <is>
          <t>11:15 - 04:00</t>
        </is>
      </c>
      <c r="J21" s="215" t="n"/>
      <c r="K21" s="45" t="inlineStr">
        <is>
          <t>1</t>
        </is>
      </c>
      <c r="L21" s="45" t="inlineStr">
        <is>
          <t>1</t>
        </is>
      </c>
      <c r="M21" s="45" t="inlineStr">
        <is>
          <t>1</t>
        </is>
      </c>
      <c r="N21" s="45" t="inlineStr">
        <is>
          <t>1</t>
        </is>
      </c>
      <c r="O21" s="45" t="inlineStr">
        <is>
          <t>1</t>
        </is>
      </c>
      <c r="P21" s="45" t="n">
        <v>1</v>
      </c>
      <c r="Q21" s="45" t="n">
        <v>1</v>
      </c>
      <c r="R21" s="45" t="n">
        <v>1</v>
      </c>
      <c r="S21" s="45" t="n">
        <v>1</v>
      </c>
      <c r="T21" s="45" t="n"/>
      <c r="U21" s="45" t="n"/>
      <c r="V21" s="45" t="n"/>
      <c r="W21" s="189" t="n"/>
      <c r="X21" s="56" t="n"/>
    </row>
    <row r="22" ht="39" customHeight="1">
      <c r="A22" s="100" t="n"/>
      <c r="B22" s="101" t="n">
        <v>1</v>
      </c>
      <c r="C22" s="3" t="n"/>
      <c r="D22" s="96" t="n"/>
      <c r="E22" s="96" t="n"/>
      <c r="F22" s="96" t="n"/>
      <c r="G22" s="97" t="n"/>
      <c r="H22" s="98" t="inlineStr">
        <is>
          <t>Kaur, Harnoor</t>
        </is>
      </c>
      <c r="I22" s="99" t="inlineStr">
        <is>
          <t>11:15 - 04:00</t>
        </is>
      </c>
      <c r="J22" s="215" t="n"/>
      <c r="K22" s="45" t="inlineStr">
        <is>
          <t>1</t>
        </is>
      </c>
      <c r="L22" s="45" t="inlineStr">
        <is>
          <t>1</t>
        </is>
      </c>
      <c r="M22" s="45" t="inlineStr">
        <is>
          <t>1</t>
        </is>
      </c>
      <c r="N22" s="45" t="inlineStr">
        <is>
          <t>1</t>
        </is>
      </c>
      <c r="O22" s="45" t="inlineStr">
        <is>
          <t>1</t>
        </is>
      </c>
      <c r="P22" s="45" t="n">
        <v>1</v>
      </c>
      <c r="Q22" s="45" t="n">
        <v>1</v>
      </c>
      <c r="R22" s="45" t="n"/>
      <c r="S22" s="45" t="n"/>
      <c r="T22" s="45" t="n"/>
      <c r="U22" s="45" t="n"/>
      <c r="V22" s="45" t="n"/>
      <c r="W22" s="189" t="n"/>
      <c r="X22" s="56" t="n"/>
    </row>
    <row r="23" ht="39" customHeight="1">
      <c r="A23" s="100" t="n"/>
      <c r="B23" s="103" t="n"/>
      <c r="C23" s="3" t="n"/>
      <c r="D23" s="96" t="n"/>
      <c r="E23" s="96" t="n"/>
      <c r="F23" s="96" t="n"/>
      <c r="G23" s="97" t="n"/>
      <c r="H23" s="98" t="inlineStr">
        <is>
          <t>Love, Kaiya</t>
        </is>
      </c>
      <c r="I23" s="99" t="inlineStr">
        <is>
          <t>11:15 - 04:00</t>
        </is>
      </c>
      <c r="J23" s="215" t="n"/>
      <c r="K23" s="45" t="inlineStr">
        <is>
          <t>1</t>
        </is>
      </c>
      <c r="L23" s="45" t="inlineStr">
        <is>
          <t>1</t>
        </is>
      </c>
      <c r="M23" s="49" t="inlineStr">
        <is>
          <t>1</t>
        </is>
      </c>
      <c r="N23" s="49" t="inlineStr">
        <is>
          <t>1</t>
        </is>
      </c>
      <c r="O23" s="104" t="inlineStr">
        <is>
          <t>1</t>
        </is>
      </c>
      <c r="P23" s="104" t="n">
        <v>1</v>
      </c>
      <c r="Q23" s="104" t="n">
        <v>1</v>
      </c>
      <c r="R23" s="45" t="n">
        <v>1</v>
      </c>
      <c r="S23" s="45" t="n"/>
      <c r="T23" s="45" t="n"/>
      <c r="U23" s="45" t="n"/>
      <c r="V23" s="45" t="n"/>
      <c r="W23" s="189" t="n"/>
      <c r="X23" s="56" t="n"/>
    </row>
    <row r="24" ht="39" customHeight="1">
      <c r="A24" s="106" t="inlineStr">
        <is>
          <t>DENIM: 69.99 when you buy 2 or more</t>
        </is>
      </c>
      <c r="C24" s="3" t="n"/>
      <c r="D24" s="96" t="n"/>
      <c r="E24" s="96" t="n"/>
      <c r="F24" s="96" t="n"/>
      <c r="G24" s="97" t="n"/>
      <c r="H24" s="98" t="inlineStr">
        <is>
          <t>Manj, Gia</t>
        </is>
      </c>
      <c r="I24" s="99" t="inlineStr">
        <is>
          <t>12:15 - 06:30</t>
        </is>
      </c>
      <c r="J24" s="215" t="n"/>
      <c r="K24" s="45" t="n"/>
      <c r="L24" s="45" t="inlineStr">
        <is>
          <t>1</t>
        </is>
      </c>
      <c r="M24" s="45" t="inlineStr">
        <is>
          <t>1</t>
        </is>
      </c>
      <c r="N24" s="91" t="inlineStr">
        <is>
          <t>1</t>
        </is>
      </c>
      <c r="O24" s="93" t="inlineStr">
        <is>
          <t>1</t>
        </is>
      </c>
      <c r="P24" s="92" t="inlineStr">
        <is>
          <t>1</t>
        </is>
      </c>
      <c r="Q24" s="92" t="inlineStr">
        <is>
          <t>1</t>
        </is>
      </c>
      <c r="R24" s="92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189" t="n"/>
      <c r="X24" s="56" t="n"/>
    </row>
    <row r="25" ht="39" customHeight="1">
      <c r="A25" s="106" t="inlineStr">
        <is>
          <t xml:space="preserve">TOPS, OUTERWEAR, SHORTS: BOGO 50% </t>
        </is>
      </c>
      <c r="C25" s="3" t="n"/>
      <c r="D25" s="96" t="n"/>
      <c r="E25" s="96" t="n"/>
      <c r="F25" s="96" t="n"/>
      <c r="G25" s="97" t="n"/>
      <c r="H25" s="98" t="inlineStr">
        <is>
          <t>Sidhu, Jasmin</t>
        </is>
      </c>
      <c r="I25" s="99" t="inlineStr">
        <is>
          <t>12:15 - 05:00</t>
        </is>
      </c>
      <c r="J25" s="215" t="n"/>
      <c r="K25" s="45" t="n"/>
      <c r="L25" s="45" t="inlineStr">
        <is>
          <t>1</t>
        </is>
      </c>
      <c r="M25" s="45" t="inlineStr">
        <is>
          <t>1</t>
        </is>
      </c>
      <c r="N25" s="45" t="inlineStr">
        <is>
          <t>1</t>
        </is>
      </c>
      <c r="O25" s="109" t="inlineStr">
        <is>
          <t>1</t>
        </is>
      </c>
      <c r="P25" s="109" t="inlineStr">
        <is>
          <t>1</t>
        </is>
      </c>
      <c r="Q25" s="109" t="n">
        <v>1</v>
      </c>
      <c r="R25" s="49" t="n">
        <v>1</v>
      </c>
      <c r="S25" s="49" t="n">
        <v>1</v>
      </c>
      <c r="T25" s="104" t="n">
        <v>1</v>
      </c>
      <c r="U25" s="104" t="n"/>
      <c r="V25" s="104" t="n"/>
      <c r="W25" s="189" t="n"/>
      <c r="X25" s="56" t="n"/>
    </row>
    <row r="26" ht="39" customHeight="1">
      <c r="A26" s="112" t="inlineStr">
        <is>
          <t>Clearance additional 40% off</t>
        </is>
      </c>
      <c r="B26" s="183" t="n"/>
      <c r="C26" s="3" t="n"/>
      <c r="D26" s="96" t="n"/>
      <c r="E26" s="96" t="n"/>
      <c r="F26" s="96" t="n"/>
      <c r="G26" s="97" t="n"/>
      <c r="H26" s="98" t="inlineStr">
        <is>
          <t>Guenard, Emily</t>
        </is>
      </c>
      <c r="I26" s="99" t="inlineStr">
        <is>
          <t>01:15 - 06:00</t>
        </is>
      </c>
      <c r="J26" s="215" t="n"/>
      <c r="K26" s="45" t="n"/>
      <c r="L26" s="45" t="n"/>
      <c r="M26" s="45" t="inlineStr">
        <is>
          <t>1</t>
        </is>
      </c>
      <c r="N26" s="45" t="inlineStr">
        <is>
          <t>1</t>
        </is>
      </c>
      <c r="O26" s="45" t="inlineStr">
        <is>
          <t>1</t>
        </is>
      </c>
      <c r="P26" s="92" t="inlineStr">
        <is>
          <t>1</t>
        </is>
      </c>
      <c r="Q26" s="93" t="inlineStr">
        <is>
          <t>1</t>
        </is>
      </c>
      <c r="R26" s="93" t="n">
        <v>1</v>
      </c>
      <c r="S26" s="49" t="n">
        <v>1</v>
      </c>
      <c r="T26" s="49" t="n">
        <v>1</v>
      </c>
      <c r="U26" s="45" t="n">
        <v>1</v>
      </c>
      <c r="V26" s="45" t="n">
        <v>1</v>
      </c>
      <c r="W26" s="290" t="n"/>
      <c r="X26" s="56" t="n"/>
    </row>
    <row r="27" ht="39" customHeight="1">
      <c r="A27" s="117" t="inlineStr">
        <is>
          <t>SW. $34.99, $39.99, 44.99, 49.99</t>
        </is>
      </c>
      <c r="B27" s="2" t="n"/>
      <c r="C27" s="3" t="n"/>
      <c r="D27" s="96" t="n"/>
      <c r="E27" s="96" t="n"/>
      <c r="F27" s="96" t="n"/>
      <c r="G27" s="97" t="n"/>
      <c r="H27" s="98" t="inlineStr">
        <is>
          <t>Simpkin, Avery</t>
        </is>
      </c>
      <c r="I27" s="99" t="inlineStr">
        <is>
          <t>01:15 - 06:00</t>
        </is>
      </c>
      <c r="J27" s="215" t="n"/>
      <c r="K27" s="45" t="n"/>
      <c r="L27" s="45" t="n"/>
      <c r="M27" s="45" t="inlineStr">
        <is>
          <t>1</t>
        </is>
      </c>
      <c r="N27" s="45" t="inlineStr">
        <is>
          <t>1</t>
        </is>
      </c>
      <c r="O27" s="45" t="inlineStr">
        <is>
          <t>1</t>
        </is>
      </c>
      <c r="P27" s="45" t="inlineStr">
        <is>
          <t>1</t>
        </is>
      </c>
      <c r="Q27" s="45" t="inlineStr">
        <is>
          <t>1</t>
        </is>
      </c>
      <c r="R27" s="49" t="n">
        <v>1</v>
      </c>
      <c r="S27" s="291" t="n">
        <v>1</v>
      </c>
      <c r="T27" s="104" t="n">
        <v>1</v>
      </c>
      <c r="U27" s="104" t="n">
        <v>1</v>
      </c>
      <c r="V27" s="104" t="n">
        <v>1</v>
      </c>
      <c r="W27" s="189" t="n"/>
      <c r="X27" s="56" t="n"/>
    </row>
    <row r="28" ht="39" customHeight="1">
      <c r="A28" s="279" t="n"/>
      <c r="C28" s="3" t="n"/>
      <c r="D28" s="96" t="n"/>
      <c r="E28" s="96" t="n"/>
      <c r="F28" s="96" t="n"/>
      <c r="G28" s="97" t="n"/>
      <c r="H28" s="98" t="inlineStr">
        <is>
          <t>Nguyen, Vova</t>
        </is>
      </c>
      <c r="I28" s="99" t="inlineStr">
        <is>
          <t>01:45 - 06:30</t>
        </is>
      </c>
      <c r="J28" s="215" t="n"/>
      <c r="K28" s="45" t="n"/>
      <c r="L28" s="45" t="n"/>
      <c r="M28" s="45" t="inlineStr">
        <is>
          <t>1</t>
        </is>
      </c>
      <c r="N28" s="45" t="inlineStr">
        <is>
          <t>1</t>
        </is>
      </c>
      <c r="O28" s="45" t="inlineStr">
        <is>
          <t>1</t>
        </is>
      </c>
      <c r="P28" s="45" t="inlineStr">
        <is>
          <t>1</t>
        </is>
      </c>
      <c r="Q28" s="45" t="inlineStr">
        <is>
          <t>1</t>
        </is>
      </c>
      <c r="R28" s="49" t="n">
        <v>1</v>
      </c>
      <c r="S28" s="108" t="n">
        <v>1</v>
      </c>
      <c r="T28" s="108" t="n">
        <v>1</v>
      </c>
      <c r="U28" s="108" t="n">
        <v>1</v>
      </c>
      <c r="V28" s="108" t="n">
        <v>1</v>
      </c>
      <c r="W28" s="89" t="n"/>
      <c r="X28" s="56" t="n"/>
    </row>
    <row r="29" ht="39" customHeight="1">
      <c r="A29" s="292" t="n"/>
      <c r="C29" s="3" t="n"/>
      <c r="D29" s="96" t="n"/>
      <c r="E29" s="96" t="n"/>
      <c r="F29" s="96" t="n"/>
      <c r="G29" s="97" t="n"/>
      <c r="H29" s="98" t="inlineStr">
        <is>
          <t>Herbert, Peyton</t>
        </is>
      </c>
      <c r="I29" s="99" t="inlineStr">
        <is>
          <t>01:45 - 06:30</t>
        </is>
      </c>
      <c r="J29" s="215" t="n"/>
      <c r="K29" s="45" t="n"/>
      <c r="L29" s="45" t="n"/>
      <c r="M29" s="45" t="inlineStr">
        <is>
          <t>1</t>
        </is>
      </c>
      <c r="N29" s="45" t="inlineStr">
        <is>
          <t>1</t>
        </is>
      </c>
      <c r="O29" s="45" t="inlineStr">
        <is>
          <t>1</t>
        </is>
      </c>
      <c r="P29" s="45" t="inlineStr">
        <is>
          <t>1</t>
        </is>
      </c>
      <c r="Q29" s="45" t="inlineStr">
        <is>
          <t>1</t>
        </is>
      </c>
      <c r="R29" s="115" t="n">
        <v>1</v>
      </c>
      <c r="S29" s="93" t="n">
        <v>1</v>
      </c>
      <c r="T29" s="93" t="n">
        <v>1</v>
      </c>
      <c r="U29" s="93" t="n">
        <v>1</v>
      </c>
      <c r="V29" s="93" t="n">
        <v>1</v>
      </c>
      <c r="W29" s="89" t="n"/>
      <c r="X29" s="127" t="n"/>
    </row>
    <row r="30" ht="39" customHeight="1">
      <c r="A30" s="117" t="n"/>
      <c r="B30" s="103" t="n"/>
      <c r="C30" s="3" t="n"/>
      <c r="D30" s="96" t="n"/>
      <c r="E30" s="96" t="n"/>
      <c r="F30" s="96" t="n"/>
      <c r="G30" s="97" t="n"/>
      <c r="H30" s="98" t="inlineStr">
        <is>
          <t>Mendoza, Ava</t>
        </is>
      </c>
      <c r="I30" s="99" t="inlineStr">
        <is>
          <t>01:45 - 06:30</t>
        </is>
      </c>
      <c r="J30" s="215" t="n"/>
      <c r="K30" s="45" t="n"/>
      <c r="L30" s="45" t="n"/>
      <c r="M30" s="45" t="inlineStr">
        <is>
          <t>1</t>
        </is>
      </c>
      <c r="N30" s="45" t="inlineStr">
        <is>
          <t>1</t>
        </is>
      </c>
      <c r="O30" s="45" t="inlineStr">
        <is>
          <t>1</t>
        </is>
      </c>
      <c r="P30" s="45" t="inlineStr">
        <is>
          <t>1</t>
        </is>
      </c>
      <c r="Q30" s="45" t="inlineStr">
        <is>
          <t>1</t>
        </is>
      </c>
      <c r="R30" s="49" t="n">
        <v>1</v>
      </c>
      <c r="S30" s="241" t="n">
        <v>1</v>
      </c>
      <c r="T30" s="241" t="n">
        <v>1</v>
      </c>
      <c r="U30" s="241" t="n">
        <v>1</v>
      </c>
      <c r="V30" s="241" t="n">
        <v>1</v>
      </c>
      <c r="W30" s="189" t="n"/>
      <c r="X30" s="127" t="n"/>
    </row>
    <row r="31" ht="22.5" customHeight="1">
      <c r="A31" s="117" t="n"/>
      <c r="B31" s="103" t="n"/>
      <c r="C31" s="3" t="n"/>
      <c r="D31" s="96" t="n"/>
      <c r="E31" s="96" t="n"/>
      <c r="F31" s="96" t="n"/>
      <c r="G31" s="97" t="n"/>
      <c r="H31" s="98" t="inlineStr">
        <is>
          <t>Sadorra, Maya</t>
        </is>
      </c>
      <c r="I31" s="99" t="inlineStr">
        <is>
          <t>01:45 - 06:30</t>
        </is>
      </c>
      <c r="J31" s="215" t="n"/>
      <c r="K31" s="45" t="n"/>
      <c r="L31" s="45" t="n"/>
      <c r="M31" s="45" t="inlineStr">
        <is>
          <t>1</t>
        </is>
      </c>
      <c r="N31" s="45" t="inlineStr">
        <is>
          <t>1</t>
        </is>
      </c>
      <c r="O31" s="45" t="inlineStr">
        <is>
          <t>1</t>
        </is>
      </c>
      <c r="P31" s="45" t="inlineStr">
        <is>
          <t>1</t>
        </is>
      </c>
      <c r="Q31" s="45" t="inlineStr">
        <is>
          <t>1</t>
        </is>
      </c>
      <c r="R31" s="49" t="n"/>
      <c r="S31" s="241" t="n"/>
      <c r="T31" s="241" t="n"/>
      <c r="U31" s="241" t="n"/>
      <c r="V31" s="241" t="n"/>
      <c r="W31" s="189" t="n"/>
      <c r="X31" s="127" t="n"/>
    </row>
    <row r="32" ht="22.5" customHeight="1">
      <c r="A32" s="117" t="n"/>
      <c r="B32" s="103" t="n"/>
      <c r="C32" s="3" t="n"/>
      <c r="D32" s="96" t="n"/>
      <c r="E32" s="96" t="n"/>
      <c r="F32" s="96" t="n"/>
      <c r="G32" s="97" t="n"/>
      <c r="H32" s="98" t="n"/>
      <c r="I32" s="129" t="n"/>
      <c r="J32" s="215" t="n"/>
      <c r="K32" s="45" t="n"/>
      <c r="L32" s="45" t="n"/>
      <c r="M32" s="45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189" t="n"/>
      <c r="X32" s="127" t="n"/>
    </row>
    <row r="33" ht="22.5" customHeight="1">
      <c r="A33" s="117" t="n"/>
      <c r="B33" s="103" t="n"/>
      <c r="C33" s="3" t="n"/>
      <c r="D33" s="96" t="n"/>
      <c r="E33" s="96" t="n"/>
      <c r="F33" s="96" t="n"/>
      <c r="G33" s="97" t="n"/>
      <c r="H33" s="98" t="n"/>
      <c r="I33" s="129" t="n"/>
      <c r="J33" s="21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189" t="n"/>
      <c r="X33" s="127" t="n"/>
    </row>
    <row r="34" ht="22.5" customHeight="1">
      <c r="A34" s="128" t="n"/>
      <c r="B34" s="360" t="n"/>
      <c r="C34" s="3" t="n"/>
      <c r="D34" s="96" t="n"/>
      <c r="E34" s="96" t="n"/>
      <c r="F34" s="96" t="n"/>
      <c r="G34" s="97" t="n"/>
      <c r="H34" s="98" t="n"/>
      <c r="I34" s="129" t="n"/>
      <c r="J34" s="21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/>
      <c r="V34" s="45" t="n"/>
      <c r="W34" s="189" t="n"/>
      <c r="X34" s="127">
        <f>COUNTIF(#REF!,$R$54)+COUNTIF(#REF!,$S$54)+COUNTIF(#REF!,$M$54)+COUNTIF(#REF!,$N$54)+COUNTIF(#REF!,$O$54)+COUNTIF(#REF!,$P$54)+COUNTIF(#REF!,$Q$54)</f>
        <v/>
      </c>
    </row>
    <row r="35" ht="27.75" customHeight="1">
      <c r="A35" s="122" t="inlineStr">
        <is>
          <t>CONSUMER EXPERIENCE</t>
        </is>
      </c>
      <c r="B35" s="360" t="n"/>
      <c r="C35" s="3" t="n"/>
      <c r="D35" s="96" t="n"/>
      <c r="E35" s="96" t="n"/>
      <c r="F35" s="96" t="n"/>
      <c r="G35" s="97" t="n"/>
      <c r="H35" s="98" t="n"/>
      <c r="I35" s="129" t="n"/>
      <c r="J35" s="21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89" t="n"/>
      <c r="X35" s="127">
        <f>COUNTIF(#REF!,$R$54)+COUNTIF(#REF!,$S$54)+COUNTIF(#REF!,$M$54)+COUNTIF(#REF!,$N$54)+COUNTIF(#REF!,$O$54)+COUNTIF(#REF!,$P$54)+COUNTIF(#REF!,$Q$54)</f>
        <v/>
      </c>
    </row>
    <row r="36" ht="27.75" customHeight="1">
      <c r="A36" s="128" t="n"/>
      <c r="B36" s="360" t="n"/>
      <c r="C36" s="124" t="n"/>
      <c r="D36" s="96" t="n"/>
      <c r="E36" s="96" t="n"/>
      <c r="F36" s="96" t="n"/>
      <c r="G36" s="97" t="n"/>
      <c r="H36" s="98" t="n"/>
      <c r="I36" s="129" t="n"/>
      <c r="J36" s="215" t="n"/>
      <c r="K36" s="45" t="n"/>
      <c r="L36" s="45" t="n"/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89" t="n"/>
      <c r="X36" s="127">
        <f>COUNTIF(#REF!,$R$54)+COUNTIF(#REF!,$S$54)+COUNTIF(#REF!,$M$54)+COUNTIF(#REF!,$N$54)+COUNTIF(#REF!,$O$54)+COUNTIF(#REF!,$P$54)+COUNTIF(#REF!,$Q$54)</f>
        <v/>
      </c>
    </row>
    <row r="37" ht="27.75" customHeight="1">
      <c r="A37" s="128" t="n"/>
      <c r="B37" s="360" t="n"/>
      <c r="C37" s="124" t="n"/>
      <c r="D37" s="96" t="n"/>
      <c r="E37" s="96" t="n"/>
      <c r="F37" s="96" t="n"/>
      <c r="G37" s="97" t="n"/>
      <c r="H37" s="132" t="n"/>
      <c r="I37" s="129" t="n"/>
      <c r="J37" s="21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89" t="n"/>
      <c r="X37" s="127">
        <f>COUNTIF(#REF!,$R$54)+COUNTIF(#REF!,$S$54)+COUNTIF(#REF!,$M$54)+COUNTIF(#REF!,$N$54)+COUNTIF(#REF!,$O$54)+COUNTIF(#REF!,$P$54)+COUNTIF(#REF!,$Q$54)</f>
        <v/>
      </c>
    </row>
    <row r="38" ht="27.75" customHeight="1">
      <c r="A38" s="122" t="inlineStr">
        <is>
          <t>HR &amp; PEOPLE</t>
        </is>
      </c>
      <c r="B38" s="360" t="n"/>
      <c r="C38" s="124" t="n"/>
      <c r="D38" s="96" t="n"/>
      <c r="E38" s="96" t="n"/>
      <c r="F38" s="96" t="n"/>
      <c r="G38" s="97" t="n"/>
      <c r="H38" s="135" t="n"/>
      <c r="I38" s="136" t="n"/>
      <c r="J38" s="215" t="n"/>
      <c r="K38" s="45" t="n"/>
      <c r="L38" s="45" t="n"/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89" t="n"/>
      <c r="X38" s="127">
        <f>COUNTIF(#REF!,$R$54)+COUNTIF(#REF!,$S$54)+COUNTIF(#REF!,$M$54)+COUNTIF(#REF!,$N$54)+COUNTIF(#REF!,$O$54)+COUNTIF(#REF!,$P$54)+COUNTIF(#REF!,$Q$54)</f>
        <v/>
      </c>
    </row>
    <row r="39" ht="27.75" customHeight="1">
      <c r="A39" s="128" t="n"/>
      <c r="B39" s="360" t="n"/>
      <c r="C39" s="124" t="n"/>
      <c r="D39" s="96" t="n"/>
      <c r="E39" s="96" t="n"/>
      <c r="F39" s="96" t="n"/>
      <c r="G39" s="97" t="n"/>
      <c r="H39" s="135" t="n"/>
      <c r="I39" s="137" t="n"/>
      <c r="J39" s="21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89" t="n"/>
      <c r="X39" s="127">
        <f>COUNTIF(K36:V36,$R$54)+COUNTIF(K36:V36,$S$54)+COUNTIF(K36:V36,$M$54)+COUNTIF(K36:V36,$N$54)+COUNTIF(K36:V36,$O$54)+COUNTIF(K36:V36,$P$54)+COUNTIF(K36:V36,$Q$54)</f>
        <v/>
      </c>
    </row>
    <row r="40" ht="27.75" customHeight="1">
      <c r="A40" s="128" t="n"/>
      <c r="B40" s="360" t="n"/>
      <c r="C40" s="124" t="n"/>
      <c r="D40" s="96" t="n"/>
      <c r="E40" s="96" t="n"/>
      <c r="F40" s="96" t="n"/>
      <c r="G40" s="97" t="n"/>
      <c r="H40" s="135" t="n"/>
      <c r="I40" s="137" t="n"/>
      <c r="J40" s="21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89" t="n"/>
      <c r="X40" s="127">
        <f>COUNTIF(K37:V37,$R$54)+COUNTIF(K37:V37,$S$54)+COUNTIF(K37:V37,$M$54)+COUNTIF(K37:V37,$N$54)+COUNTIF(K37:V37,$O$54)+COUNTIF(K37:V37,$P$54)+COUNTIF(K37:V37,$Q$54)</f>
        <v/>
      </c>
    </row>
    <row r="41" ht="27.75" customHeight="1">
      <c r="A41" s="122" t="inlineStr">
        <is>
          <t>BRAND ENVIRONMENT</t>
        </is>
      </c>
      <c r="B41" s="360" t="n"/>
      <c r="C41" s="124" t="n"/>
      <c r="D41" s="96" t="n"/>
      <c r="E41" s="96" t="n"/>
      <c r="F41" s="96" t="n"/>
      <c r="G41" s="97" t="n"/>
      <c r="H41" s="159" t="n"/>
      <c r="I41" s="137" t="n"/>
      <c r="J41" s="215" t="n"/>
      <c r="K41" s="45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89" t="n"/>
      <c r="X41" s="127">
        <f>COUNTIF(K38:V38,$R$54)+COUNTIF(K38:V38,$S$54)+COUNTIF(K38:V38,$M$54)+COUNTIF(K38:V38,$N$54)+COUNTIF(K38:V38,$O$54)+COUNTIF(K38:V38,$P$54)+COUNTIF(K38:V38,$Q$54)</f>
        <v/>
      </c>
    </row>
    <row r="42" ht="27.75" customHeight="1">
      <c r="A42" s="128" t="n"/>
      <c r="B42" s="360" t="n"/>
      <c r="C42" s="124" t="n"/>
      <c r="D42" s="96" t="n"/>
      <c r="E42" s="96" t="n"/>
      <c r="F42" s="96" t="n"/>
      <c r="G42" s="97" t="n"/>
      <c r="H42" s="159" t="n"/>
      <c r="I42" s="135" t="inlineStr">
        <is>
          <t>SELECT</t>
        </is>
      </c>
      <c r="J42" s="215" t="n"/>
      <c r="K42" s="45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89" t="n"/>
      <c r="X42" s="127">
        <f>COUNTIF(K39:V39,$R$54)+COUNTIF(K39:V39,$S$54)+COUNTIF(K39:V39,$M$54)+COUNTIF(K39:V39,$N$54)+COUNTIF(K39:V39,$O$54)+COUNTIF(K39:V39,$P$54)+COUNTIF(K39:V39,$Q$54)</f>
        <v/>
      </c>
    </row>
    <row r="43" ht="27.75" customHeight="1">
      <c r="A43" s="128" t="n"/>
      <c r="B43" s="360" t="n"/>
      <c r="C43" s="124" t="n"/>
      <c r="D43" s="96" t="n"/>
      <c r="E43" s="96" t="n"/>
      <c r="F43" s="96" t="n"/>
      <c r="G43" s="97" t="n"/>
      <c r="H43" s="159" t="n"/>
      <c r="I43" s="64" t="n"/>
      <c r="J43" s="215" t="n"/>
      <c r="K43" s="45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89" t="n"/>
      <c r="X43" s="127">
        <f>COUNTIF(K40:V40,$R$54)+COUNTIF(K40:V40,$S$54)+COUNTIF(K40:V40,$M$54)+COUNTIF(K40:V40,$N$54)+COUNTIF(K40:V40,$O$54)+COUNTIF(K40:V40,$P$54)+COUNTIF(K40:V40,$Q$54)</f>
        <v/>
      </c>
    </row>
    <row r="44" ht="27.75" customHeight="1">
      <c r="A44" s="122" t="inlineStr">
        <is>
          <t>HEALTHY &amp; SAFETY</t>
        </is>
      </c>
      <c r="B44" s="360" t="n"/>
      <c r="C44" s="124" t="n"/>
      <c r="D44" s="96" t="n"/>
      <c r="E44" s="96" t="n"/>
      <c r="F44" s="96" t="n"/>
      <c r="G44" s="97" t="n"/>
      <c r="H44" s="159" t="n"/>
      <c r="I44" s="64" t="n"/>
      <c r="J44" s="215" t="n"/>
      <c r="K44" s="45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89" t="n"/>
      <c r="X44" s="127">
        <f>COUNTIF(K41:V41,$R$54)+COUNTIF(K41:V41,$S$54)+COUNTIF(K41:V41,$M$54)+COUNTIF(K41:V41,$N$54)+COUNTIF(K41:V41,$O$54)+COUNTIF(K41:V41,$P$54)+COUNTIF(K41:V41,$Q$54)</f>
        <v/>
      </c>
    </row>
    <row r="45" ht="27.75" customHeight="1">
      <c r="A45" s="128" t="n"/>
      <c r="B45" s="360" t="n"/>
      <c r="C45" s="124" t="n"/>
      <c r="D45" s="96" t="n"/>
      <c r="E45" s="96" t="n"/>
      <c r="F45" s="96" t="n"/>
      <c r="G45" s="97" t="n"/>
      <c r="H45" s="159" t="n"/>
      <c r="I45" s="64" t="n"/>
      <c r="J45" s="21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89" t="n"/>
      <c r="X45" s="127">
        <f>COUNTIF(K42:V42,$R$54)+COUNTIF(K42:V42,$S$54)+COUNTIF(K42:V42,$M$54)+COUNTIF(K42:V42,$N$54)+COUNTIF(K42:V42,$O$54)+COUNTIF(K42:V42,$P$54)+COUNTIF(K42:V42,$Q$54)</f>
        <v/>
      </c>
    </row>
    <row r="46" ht="27.75" customHeight="1">
      <c r="A46" s="128" t="n"/>
      <c r="B46" s="360" t="n"/>
      <c r="C46" s="124" t="n"/>
      <c r="D46" s="96" t="n"/>
      <c r="E46" s="96" t="n"/>
      <c r="F46" s="96" t="n"/>
      <c r="G46" s="97" t="n"/>
      <c r="H46" s="159" t="n"/>
      <c r="I46" s="64" t="n"/>
      <c r="J46" s="215" t="n"/>
      <c r="K46" s="45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89" t="n"/>
      <c r="X46" s="127">
        <f>COUNTIF(K43:V43,$R$54)+COUNTIF(K43:V43,$S$54)+COUNTIF(K43:V43,$M$54)+COUNTIF(K43:V43,$N$54)+COUNTIF(K43:V43,$O$54)+COUNTIF(K43:V43,$P$54)+COUNTIF(K43:V43,$Q$54)</f>
        <v/>
      </c>
    </row>
    <row r="47" ht="27.75" customHeight="1">
      <c r="A47" s="122" t="inlineStr">
        <is>
          <t>LOSS PREVENTION</t>
        </is>
      </c>
      <c r="B47" s="360" t="n"/>
      <c r="C47" s="124" t="n"/>
      <c r="D47" s="96" t="n"/>
      <c r="E47" s="96" t="n"/>
      <c r="F47" s="96" t="n"/>
      <c r="G47" s="97" t="n"/>
      <c r="H47" s="159" t="n"/>
      <c r="I47" s="64" t="n"/>
      <c r="J47" s="215" t="n"/>
      <c r="K47" s="45" t="n"/>
      <c r="L47" s="45" t="n"/>
      <c r="M47" s="45" t="n"/>
      <c r="N47" s="45" t="n"/>
      <c r="O47" s="45" t="n"/>
      <c r="P47" s="45" t="n"/>
      <c r="Q47" s="45" t="n"/>
      <c r="R47" s="45" t="n"/>
      <c r="S47" s="45" t="n"/>
      <c r="T47" s="45" t="n"/>
      <c r="U47" s="45" t="n"/>
      <c r="V47" s="45" t="n"/>
      <c r="W47" s="89" t="n"/>
      <c r="X47" s="127">
        <f>COUNTIF(K44:V44,$R$54)+COUNTIF(K44:V44,$S$54)+COUNTIF(K44:V44,$M$54)+COUNTIF(K44:V44,$N$54)+COUNTIF(K44:V44,$O$54)+COUNTIF(K44:V44,$P$54)+COUNTIF(K44:V44,$Q$54)</f>
        <v/>
      </c>
    </row>
    <row r="48" ht="27.75" customHeight="1">
      <c r="A48" s="128" t="inlineStr">
        <is>
          <t>ThinkLP decommissioned. Submit through LS&amp;Co. To Go.</t>
        </is>
      </c>
      <c r="B48" s="360" t="n"/>
      <c r="C48" s="124" t="n"/>
      <c r="D48" s="96" t="n"/>
      <c r="E48" s="96" t="n"/>
      <c r="F48" s="96" t="n"/>
      <c r="G48" s="97" t="n"/>
      <c r="H48" s="159" t="n"/>
      <c r="I48" s="64" t="n"/>
      <c r="J48" s="215" t="n"/>
      <c r="K48" s="45" t="n"/>
      <c r="L48" s="45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89" t="n"/>
      <c r="X48" s="127">
        <f>COUNTIF(K45:V45,$R$54)+COUNTIF(K45:V45,$S$54)+COUNTIF(K45:V45,$M$54)+COUNTIF(K45:V45,$N$54)+COUNTIF(K45:V45,$O$54)+COUNTIF(K45:V45,$P$54)+COUNTIF(K45:V45,$Q$54)</f>
        <v/>
      </c>
    </row>
    <row r="49" ht="27.75" customHeight="1">
      <c r="A49" s="128" t="inlineStr">
        <is>
          <t>Acknowledge every consumer, ensure that front section is zoned</t>
        </is>
      </c>
      <c r="B49" s="360" t="n"/>
      <c r="C49" s="124" t="n"/>
      <c r="D49" s="96" t="n"/>
      <c r="E49" s="96" t="n"/>
      <c r="F49" s="96" t="n"/>
      <c r="G49" s="97" t="n"/>
      <c r="H49" s="159" t="n"/>
      <c r="I49" s="64" t="n"/>
      <c r="J49" s="129" t="n"/>
      <c r="K49" s="119" t="n"/>
      <c r="L49" s="119" t="n"/>
      <c r="M49" s="119" t="n"/>
      <c r="N49" s="119" t="n"/>
      <c r="O49" s="119" t="n"/>
      <c r="P49" s="119" t="n"/>
      <c r="Q49" s="119" t="n"/>
      <c r="R49" s="119" t="n"/>
      <c r="S49" s="119" t="n"/>
      <c r="T49" s="119" t="n"/>
      <c r="U49" s="119" t="n"/>
      <c r="V49" s="119" t="n"/>
      <c r="W49" s="89" t="n"/>
      <c r="X49" s="127">
        <f>COUNTIF(#REF!,$R$54)+COUNTIF(#REF!,$S$54)+COUNTIF(#REF!,$M$54)+COUNTIF(#REF!,$N$54)+COUNTIF(#REF!,$O$54)+COUNTIF(#REF!,$P$54)+COUNTIF(#REF!,$Q$54)</f>
        <v/>
      </c>
    </row>
    <row r="50" ht="27.75" customHeight="1">
      <c r="A50" s="122" t="inlineStr">
        <is>
          <t>MARKETING</t>
        </is>
      </c>
      <c r="B50" s="360" t="n"/>
      <c r="C50" s="124" t="n"/>
      <c r="D50" s="96" t="n"/>
      <c r="E50" s="96" t="n"/>
      <c r="F50" s="96" t="n"/>
      <c r="G50" s="97" t="n"/>
      <c r="H50" s="159" t="n"/>
      <c r="I50" s="64" t="n"/>
      <c r="J50" s="136" t="n"/>
      <c r="K50" s="141" t="n"/>
      <c r="L50" s="141" t="n"/>
      <c r="M50" s="141" t="n"/>
      <c r="N50" s="141" t="n"/>
      <c r="O50" s="141" t="n"/>
      <c r="P50" s="141" t="n"/>
      <c r="Q50" s="141" t="n"/>
      <c r="R50" s="141" t="n"/>
      <c r="S50" s="141" t="n"/>
      <c r="T50" s="141" t="n"/>
      <c r="U50" s="141" t="n"/>
      <c r="V50" s="141" t="n"/>
      <c r="W50" s="89" t="n"/>
      <c r="X50" s="127" t="n"/>
    </row>
    <row r="51" ht="27.75" customHeight="1">
      <c r="A51" s="128" t="n"/>
      <c r="B51" s="360" t="n"/>
      <c r="C51" s="124" t="n"/>
      <c r="D51" s="96" t="n"/>
      <c r="E51" s="96" t="n"/>
      <c r="F51" s="96" t="n"/>
      <c r="G51" s="97" t="n"/>
      <c r="H51" s="159" t="n"/>
      <c r="I51" s="64" t="n"/>
      <c r="J51" s="137" t="n"/>
      <c r="K51" s="148" t="n"/>
      <c r="L51" s="148" t="n"/>
      <c r="M51" s="148" t="n"/>
      <c r="N51" s="148" t="n"/>
      <c r="O51" s="148" t="n"/>
      <c r="P51" s="148" t="n"/>
      <c r="Q51" s="148" t="n"/>
      <c r="R51" s="148" t="n"/>
      <c r="S51" s="148" t="n"/>
      <c r="T51" s="148" t="n"/>
      <c r="U51" s="148" t="n"/>
      <c r="V51" s="148" t="n"/>
      <c r="W51" s="89" t="n"/>
      <c r="X51" s="131" t="n"/>
    </row>
    <row r="52" ht="27.75" customHeight="1">
      <c r="A52" s="128" t="n"/>
      <c r="B52" s="360" t="n"/>
      <c r="C52" s="124" t="n"/>
      <c r="D52" s="96" t="n"/>
      <c r="E52" s="96" t="n"/>
      <c r="F52" s="96" t="n"/>
      <c r="G52" s="97" t="n"/>
      <c r="H52" s="159" t="n"/>
      <c r="I52" s="64" t="n"/>
      <c r="J52" s="137" t="n"/>
      <c r="K52" s="148" t="n"/>
      <c r="L52" s="148" t="n"/>
      <c r="M52" s="148" t="n"/>
      <c r="N52" s="148" t="n"/>
      <c r="O52" s="148" t="n"/>
      <c r="P52" s="148" t="n"/>
      <c r="Q52" s="148" t="n"/>
      <c r="R52" s="148" t="n"/>
      <c r="S52" s="148" t="n"/>
      <c r="T52" s="148" t="n"/>
      <c r="U52" s="148" t="n"/>
      <c r="V52" s="148" t="n"/>
      <c r="W52" s="89" t="n"/>
      <c r="X52" s="134" t="n"/>
    </row>
    <row r="53" ht="27.75" customHeight="1">
      <c r="A53" s="122" t="inlineStr">
        <is>
          <t>OTHER</t>
        </is>
      </c>
      <c r="B53" s="360" t="n"/>
      <c r="C53" s="124" t="n"/>
      <c r="D53" s="96" t="n"/>
      <c r="E53" s="96" t="n"/>
      <c r="F53" s="96" t="n"/>
      <c r="G53" s="97" t="n"/>
      <c r="H53" s="159" t="n"/>
      <c r="I53" s="64" t="n"/>
      <c r="J53" s="137" t="n"/>
      <c r="K53" s="148" t="n"/>
      <c r="L53" s="148" t="n"/>
      <c r="M53" s="148" t="n"/>
      <c r="N53" s="148" t="n"/>
      <c r="O53" s="148" t="n"/>
      <c r="P53" s="148" t="n"/>
      <c r="Q53" s="148" t="n"/>
      <c r="R53" s="148" t="n"/>
      <c r="S53" s="148" t="n"/>
      <c r="T53" s="148" t="n"/>
      <c r="U53" s="148" t="n"/>
      <c r="V53" s="148" t="n"/>
      <c r="W53" s="89" t="n"/>
      <c r="X53" s="134" t="n"/>
    </row>
    <row r="54" ht="27.75" customHeight="1">
      <c r="A54" s="128" t="n"/>
      <c r="B54" s="360" t="n"/>
      <c r="C54" s="124" t="n"/>
      <c r="D54" s="96" t="n"/>
      <c r="E54" s="96" t="n"/>
      <c r="F54" s="96" t="n"/>
      <c r="G54" s="97" t="n"/>
      <c r="H54" s="159" t="n"/>
      <c r="I54" s="64" t="n"/>
      <c r="J54" s="137" t="n"/>
      <c r="K54" s="191" t="inlineStr">
        <is>
          <t>BREAK</t>
        </is>
      </c>
      <c r="L54" s="152" t="inlineStr">
        <is>
          <t>CEL</t>
        </is>
      </c>
      <c r="M54" s="154" t="inlineStr">
        <is>
          <t>MENS</t>
        </is>
      </c>
      <c r="N54" s="153" t="inlineStr">
        <is>
          <t>WOMENS</t>
        </is>
      </c>
      <c r="O54" s="154" t="inlineStr">
        <is>
          <t>FLEX</t>
        </is>
      </c>
      <c r="P54" s="153" t="inlineStr">
        <is>
          <t>STYLIST</t>
        </is>
      </c>
      <c r="Q54" s="193" t="inlineStr">
        <is>
          <t>CASH</t>
        </is>
      </c>
      <c r="R54" s="193" t="inlineStr">
        <is>
          <t>FITS</t>
        </is>
      </c>
      <c r="S54" s="155" t="inlineStr">
        <is>
          <t>GREET</t>
        </is>
      </c>
      <c r="T54" s="293" t="inlineStr">
        <is>
          <t>OFFICE</t>
        </is>
      </c>
      <c r="U54" s="293" t="inlineStr">
        <is>
          <t>TASK</t>
        </is>
      </c>
      <c r="V54" s="293" t="inlineStr">
        <is>
          <t>SHIPMENT</t>
        </is>
      </c>
      <c r="W54" s="144" t="n"/>
      <c r="X54" s="134" t="n"/>
    </row>
    <row r="55" ht="27.75" customHeight="1">
      <c r="A55" s="139" t="n"/>
      <c r="B55" s="374" t="n"/>
      <c r="C55" s="124" t="n"/>
      <c r="D55" s="96" t="n"/>
      <c r="E55" s="96" t="n"/>
      <c r="F55" s="96" t="n"/>
      <c r="G55" s="97" t="n"/>
      <c r="H55" s="159" t="n"/>
      <c r="I55" s="64" t="n"/>
      <c r="J55" s="284" t="n"/>
      <c r="K55" s="68" t="n"/>
      <c r="L55" s="68" t="n"/>
      <c r="M55" s="68" t="n"/>
      <c r="N55" s="68" t="n"/>
      <c r="O55" s="68" t="n"/>
      <c r="P55" s="68" t="n"/>
      <c r="Q55" s="68" t="n"/>
      <c r="R55" s="68" t="n"/>
      <c r="S55" s="68" t="n"/>
      <c r="T55" s="68" t="n"/>
      <c r="U55" s="68" t="n"/>
      <c r="V55" s="68" t="n"/>
      <c r="W55" s="151" t="n"/>
      <c r="X55" s="134" t="n"/>
    </row>
    <row r="56" ht="26.25" customHeight="1">
      <c r="A56" s="145" t="n"/>
      <c r="B56" s="146" t="n"/>
      <c r="C56" s="124" t="n"/>
      <c r="D56" s="147" t="n"/>
      <c r="E56" s="147" t="n"/>
      <c r="F56" s="147" t="n"/>
      <c r="G56" s="147" t="n"/>
      <c r="H56" s="159" t="n"/>
      <c r="I56" s="64" t="n"/>
      <c r="J56" s="284" t="n"/>
      <c r="K56" s="68" t="n"/>
      <c r="L56" s="68" t="n"/>
      <c r="M56" s="68" t="n"/>
      <c r="N56" s="68" t="n"/>
      <c r="O56" s="68" t="n"/>
      <c r="P56" s="68" t="n"/>
      <c r="Q56" s="68" t="n"/>
      <c r="R56" s="68" t="n"/>
      <c r="S56" s="68" t="n"/>
      <c r="T56" s="68" t="n"/>
      <c r="U56" s="68" t="n"/>
      <c r="V56" s="68" t="n"/>
      <c r="W56" s="151" t="n"/>
      <c r="X56" s="134" t="n"/>
    </row>
    <row r="57" ht="26.25" customHeight="1">
      <c r="A57" s="145" t="n"/>
      <c r="B57" s="146" t="n"/>
      <c r="C57" s="124" t="n"/>
      <c r="D57" s="147" t="n"/>
      <c r="E57" s="147" t="n"/>
      <c r="F57" s="147" t="n"/>
      <c r="G57" s="147" t="n"/>
      <c r="H57" s="159" t="n"/>
      <c r="I57" s="64" t="n"/>
      <c r="J57" s="284" t="n"/>
      <c r="K57" s="68" t="n"/>
      <c r="L57" s="68" t="n"/>
      <c r="M57" s="68" t="n"/>
      <c r="N57" s="68" t="n"/>
      <c r="O57" s="68" t="n"/>
      <c r="P57" s="68" t="n"/>
      <c r="Q57" s="68" t="n"/>
      <c r="R57" s="68" t="n"/>
      <c r="S57" s="68" t="n"/>
      <c r="T57" s="68" t="n"/>
      <c r="U57" s="68" t="n"/>
      <c r="V57" s="68" t="n"/>
      <c r="W57" s="151" t="n"/>
      <c r="X57" s="134" t="n"/>
    </row>
    <row r="58" ht="26.25" customHeight="1">
      <c r="A58" s="145" t="n"/>
      <c r="B58" s="146" t="n"/>
      <c r="C58" s="124" t="n"/>
      <c r="D58" s="147" t="n"/>
      <c r="E58" s="147" t="n"/>
      <c r="F58" s="147" t="n"/>
      <c r="G58" s="147" t="n"/>
      <c r="H58" s="159" t="n"/>
      <c r="I58" s="64" t="n"/>
      <c r="J58" s="284" t="n"/>
      <c r="K58" s="68" t="n"/>
      <c r="L58" s="68" t="n"/>
      <c r="M58" s="68" t="n"/>
      <c r="N58" s="68" t="n"/>
      <c r="O58" s="68" t="n"/>
      <c r="P58" s="68" t="n"/>
      <c r="Q58" s="68" t="n"/>
      <c r="R58" s="68" t="n"/>
      <c r="S58" s="68" t="n"/>
      <c r="T58" s="68" t="n"/>
      <c r="U58" s="68" t="n"/>
      <c r="V58" s="68" t="n"/>
      <c r="W58" s="2" t="n"/>
      <c r="X58" s="134" t="n"/>
    </row>
    <row r="59" ht="18.75" customHeight="1">
      <c r="A59" s="159" t="n"/>
      <c r="B59" s="2" t="n"/>
      <c r="C59" s="124" t="n"/>
      <c r="D59" s="159" t="n"/>
      <c r="E59" s="159" t="n"/>
      <c r="F59" s="159" t="n"/>
      <c r="G59" s="159" t="n"/>
      <c r="H59" s="159" t="n"/>
      <c r="I59" s="64" t="n"/>
      <c r="J59" s="284" t="n"/>
      <c r="K59" s="68" t="n"/>
      <c r="L59" s="68" t="n"/>
      <c r="M59" s="68" t="n"/>
      <c r="N59" s="68" t="n"/>
      <c r="O59" s="68" t="n"/>
      <c r="P59" s="68" t="n"/>
      <c r="Q59" s="68" t="n"/>
      <c r="R59" s="68" t="n"/>
      <c r="S59" s="68" t="n"/>
      <c r="T59" s="68" t="n"/>
      <c r="U59" s="68" t="n"/>
      <c r="V59" s="68" t="n"/>
      <c r="W59" s="2" t="n"/>
      <c r="X59" s="158">
        <f>COUNTIF(#REF!,$R$54)+COUNTIF(#REF!,$S$54)+COUNTIF(#REF!,$M$54)+COUNTIF(#REF!,$N$54)+COUNTIF(#REF!,$O$54)+COUNTIF(#REF!,$P$54)+COUNTIF(#REF!,$Q$54)</f>
        <v/>
      </c>
    </row>
  </sheetData>
  <mergeCells count="47">
    <mergeCell ref="A48:B48"/>
    <mergeCell ref="A24:B24"/>
    <mergeCell ref="G8:G18"/>
    <mergeCell ref="D6:D18"/>
    <mergeCell ref="H10:I10"/>
    <mergeCell ref="A49:B49"/>
    <mergeCell ref="A51:B51"/>
    <mergeCell ref="A45:B45"/>
    <mergeCell ref="A36:B36"/>
    <mergeCell ref="H4:I4"/>
    <mergeCell ref="H9:I9"/>
    <mergeCell ref="F8:F18"/>
    <mergeCell ref="A54:B54"/>
    <mergeCell ref="H6:I6"/>
    <mergeCell ref="A25:B25"/>
    <mergeCell ref="A41:B41"/>
    <mergeCell ref="A37:B37"/>
    <mergeCell ref="A46:B46"/>
    <mergeCell ref="A55:B55"/>
    <mergeCell ref="A50:B50"/>
    <mergeCell ref="H1:W1"/>
    <mergeCell ref="H11:I11"/>
    <mergeCell ref="A2:B2"/>
    <mergeCell ref="H7:I7"/>
    <mergeCell ref="A47:B47"/>
    <mergeCell ref="A42:B42"/>
    <mergeCell ref="A14:B14"/>
    <mergeCell ref="H13:I13"/>
    <mergeCell ref="A53:B53"/>
    <mergeCell ref="H3:I3"/>
    <mergeCell ref="A35:B35"/>
    <mergeCell ref="H12:I12"/>
    <mergeCell ref="A38:B38"/>
    <mergeCell ref="H8:I8"/>
    <mergeCell ref="A29:B29"/>
    <mergeCell ref="A52:B52"/>
    <mergeCell ref="A43:B43"/>
    <mergeCell ref="E8:E18"/>
    <mergeCell ref="A28:B28"/>
    <mergeCell ref="H5:I5"/>
    <mergeCell ref="A44:B44"/>
    <mergeCell ref="H14:I14"/>
    <mergeCell ref="H2:W2"/>
    <mergeCell ref="H16:W16"/>
    <mergeCell ref="A39:B39"/>
    <mergeCell ref="A34:B34"/>
    <mergeCell ref="A40:B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X49"/>
  <sheetViews>
    <sheetView workbookViewId="0">
      <selection activeCell="A1" sqref="A1"/>
    </sheetView>
  </sheetViews>
  <sheetFormatPr baseColWidth="8" defaultRowHeight="15"/>
  <cols>
    <col width="40.86214285714286" bestFit="1" customWidth="1" style="159" min="1" max="1"/>
    <col width="34.57642857142857" bestFit="1" customWidth="1" style="160" min="2" max="2"/>
    <col width="1.576428571428571" bestFit="1" customWidth="1" style="161" min="3" max="3"/>
    <col width="5.147857142857143" bestFit="1" customWidth="1" style="159" min="4" max="4"/>
    <col width="5.147857142857143" bestFit="1" customWidth="1" style="159" min="5" max="5"/>
    <col width="5.147857142857143" bestFit="1" customWidth="1" style="159" min="6" max="6"/>
    <col width="5.147857142857143" bestFit="1" customWidth="1" style="159" min="7" max="7"/>
    <col width="29.005" bestFit="1" customWidth="1" style="159" min="8" max="8"/>
    <col width="21.005" bestFit="1" customWidth="1" style="162" min="9" max="9"/>
    <col width="12.86214285714286" bestFit="1" customWidth="1" style="162" min="10" max="10"/>
    <col width="15.57642857142857" bestFit="1" customWidth="1" style="166" min="11" max="11"/>
    <col width="15.57642857142857" bestFit="1" customWidth="1" style="160" min="12" max="12"/>
    <col width="15.57642857142857" bestFit="1" customWidth="1" style="160" min="13" max="13"/>
    <col width="15.57642857142857" bestFit="1" customWidth="1" style="160" min="14" max="14"/>
    <col width="15.57642857142857" bestFit="1" customWidth="1" style="160" min="15" max="15"/>
    <col width="15.57642857142857" bestFit="1" customWidth="1" style="160" min="16" max="16"/>
    <col width="15.57642857142857" bestFit="1" customWidth="1" style="160" min="17" max="17"/>
    <col width="15.57642857142857" bestFit="1" customWidth="1" style="160" min="18" max="18"/>
    <col width="15.57642857142857" bestFit="1" customWidth="1" style="160" min="19" max="19"/>
    <col width="15.57642857142857" bestFit="1" customWidth="1" style="160" min="20" max="20"/>
    <col width="15.57642857142857" bestFit="1" customWidth="1" style="160" min="21" max="21"/>
    <col width="15.57642857142857" bestFit="1" customWidth="1" style="160" min="22" max="22"/>
    <col width="34.86214285714286" bestFit="1" customWidth="1" style="166" min="23" max="23"/>
    <col hidden="1" width="12.43357142857143" bestFit="1" customWidth="1" style="167" min="24" max="24"/>
  </cols>
  <sheetData>
    <row r="1" ht="88.5" customHeight="1">
      <c r="A1" s="159" t="n"/>
      <c r="B1" s="2" t="n"/>
      <c r="C1" s="3" t="n"/>
      <c r="D1" s="159" t="n"/>
      <c r="E1" s="168" t="n"/>
      <c r="F1" s="159" t="n"/>
      <c r="G1" s="159" t="n"/>
      <c r="H1" s="5" t="n"/>
      <c r="X1" s="11" t="n"/>
    </row>
    <row r="2" ht="27.75" customHeight="1">
      <c r="A2" s="12" t="inlineStr">
        <is>
          <t>T O D A Y ' S   G O A L S</t>
        </is>
      </c>
      <c r="B2" s="370" t="n"/>
      <c r="C2" s="3" t="n"/>
      <c r="D2" s="159" t="n"/>
      <c r="E2" s="276" t="n"/>
      <c r="F2" s="159" t="n"/>
      <c r="G2" s="159" t="n"/>
      <c r="H2" s="14" t="inlineStr">
        <is>
          <t>H O U R L Y   S E G M E N T S</t>
        </is>
      </c>
      <c r="I2" s="361" t="n"/>
      <c r="J2" s="361" t="n"/>
      <c r="K2" s="361" t="n"/>
      <c r="L2" s="361" t="n"/>
      <c r="M2" s="361" t="n"/>
      <c r="N2" s="361" t="n"/>
      <c r="O2" s="361" t="n"/>
      <c r="P2" s="361" t="n"/>
      <c r="Q2" s="361" t="n"/>
      <c r="R2" s="361" t="n"/>
      <c r="S2" s="361" t="n"/>
      <c r="T2" s="361" t="n"/>
      <c r="U2" s="361" t="n"/>
      <c r="V2" s="361" t="n"/>
      <c r="W2" s="362" t="n"/>
      <c r="X2" s="19" t="n"/>
    </row>
    <row r="3" ht="27.75" customHeight="1">
      <c r="A3" s="20" t="inlineStr">
        <is>
          <t>DATE</t>
        </is>
      </c>
      <c r="B3" s="170" t="inlineStr">
        <is>
          <t>05.27.2025</t>
        </is>
      </c>
      <c r="C3" s="3" t="n"/>
      <c r="D3" s="159" t="n"/>
      <c r="E3" s="159" t="n"/>
      <c r="F3" s="159" t="n"/>
      <c r="G3" s="159" t="n"/>
      <c r="H3" s="23" t="inlineStr">
        <is>
          <t>HOURS OF OPERATIONS</t>
        </is>
      </c>
      <c r="I3" s="362" t="n"/>
      <c r="J3" s="249" t="n"/>
      <c r="K3" s="26" t="inlineStr">
        <is>
          <t>9am - 10am</t>
        </is>
      </c>
      <c r="L3" s="25" t="inlineStr">
        <is>
          <t>10am - 11am</t>
        </is>
      </c>
      <c r="M3" s="25" t="inlineStr">
        <is>
          <t>11am - 12pm</t>
        </is>
      </c>
      <c r="N3" s="25" t="inlineStr">
        <is>
          <t>12pm - 1pm</t>
        </is>
      </c>
      <c r="O3" s="25" t="inlineStr">
        <is>
          <t>1pm - 2pm</t>
        </is>
      </c>
      <c r="P3" s="25" t="inlineStr">
        <is>
          <t>2pm - 3pm</t>
        </is>
      </c>
      <c r="Q3" s="25" t="inlineStr">
        <is>
          <t>3pm - 4pm</t>
        </is>
      </c>
      <c r="R3" s="25" t="inlineStr">
        <is>
          <t>4pm - 5pm</t>
        </is>
      </c>
      <c r="S3" s="25" t="inlineStr">
        <is>
          <t>5pm - 6pm</t>
        </is>
      </c>
      <c r="T3" s="25" t="inlineStr">
        <is>
          <t>6pm - 7pm</t>
        </is>
      </c>
      <c r="U3" s="25" t="inlineStr">
        <is>
          <t>7pm - 8pm</t>
        </is>
      </c>
      <c r="V3" s="25" t="inlineStr">
        <is>
          <t>8pm - 9pm</t>
        </is>
      </c>
      <c r="W3" s="27">
        <f>SUM(L4:V4)</f>
        <v/>
      </c>
      <c r="X3" s="19" t="n"/>
    </row>
    <row r="4" ht="27.75" customHeight="1">
      <c r="A4" s="30" t="inlineStr">
        <is>
          <t>DAY SALES TARGET</t>
        </is>
      </c>
      <c r="B4" s="31" t="n">
        <v>10303</v>
      </c>
      <c r="C4" s="32" t="n"/>
      <c r="D4" s="33" t="n"/>
      <c r="E4" s="33" t="n"/>
      <c r="F4" s="33" t="n"/>
      <c r="G4" s="33" t="n"/>
      <c r="H4" s="34" t="inlineStr">
        <is>
          <t>HOURLY SALES CONTRIBUTION %</t>
        </is>
      </c>
      <c r="I4" s="368" t="n"/>
      <c r="J4" s="250" t="n"/>
      <c r="K4" s="36" t="n"/>
      <c r="L4" s="36" t="n">
        <v>0.04</v>
      </c>
      <c r="M4" s="36" t="n">
        <v>0.08</v>
      </c>
      <c r="N4" s="36" t="n">
        <v>0.1</v>
      </c>
      <c r="O4" s="36" t="n">
        <v>0.1</v>
      </c>
      <c r="P4" s="36" t="n">
        <v>0.12</v>
      </c>
      <c r="Q4" s="36" t="n">
        <v>0.12</v>
      </c>
      <c r="R4" s="36" t="n">
        <v>0.12</v>
      </c>
      <c r="S4" s="36" t="n">
        <v>0.1</v>
      </c>
      <c r="T4" s="36" t="n">
        <v>0.09</v>
      </c>
      <c r="U4" s="36" t="n">
        <v>0.08</v>
      </c>
      <c r="V4" s="36" t="n">
        <v>0.05</v>
      </c>
      <c r="W4" s="37" t="inlineStr">
        <is>
          <t>NOTES &amp; OBSERVATIONS
Complete throughout the day</t>
        </is>
      </c>
      <c r="X4" s="28" t="n"/>
    </row>
    <row r="5" ht="27.75" customHeight="1">
      <c r="A5" s="30" t="inlineStr">
        <is>
          <t>STRETCH TARGET</t>
        </is>
      </c>
      <c r="B5" s="31" t="n">
        <v>11000</v>
      </c>
      <c r="C5" s="3" t="n"/>
      <c r="D5" s="33" t="n"/>
      <c r="E5" s="33" t="n"/>
      <c r="F5" s="33" t="n"/>
      <c r="G5" s="33" t="n"/>
      <c r="H5" s="34" t="inlineStr">
        <is>
          <t>CUMULATIVE SALES TARGET</t>
        </is>
      </c>
      <c r="I5" s="368" t="n"/>
      <c r="J5" s="251" t="n"/>
      <c r="K5" s="38">
        <f>K4*B4</f>
        <v/>
      </c>
      <c r="L5" s="38">
        <f>SUM(K$4:L$4)*$B$4</f>
        <v/>
      </c>
      <c r="M5" s="38">
        <f>SUM(K4:M4)*$B$4</f>
        <v/>
      </c>
      <c r="N5" s="38">
        <f>SUM(K4:N4)*$B$4</f>
        <v/>
      </c>
      <c r="O5" s="38">
        <f>SUM(K4:O4)*$B$4</f>
        <v/>
      </c>
      <c r="P5" s="38">
        <f>SUM(K4:P4)*$B$4</f>
        <v/>
      </c>
      <c r="Q5" s="38">
        <f>SUM(K4:Q4)*$B$4</f>
        <v/>
      </c>
      <c r="R5" s="38">
        <f>SUM(K4:R4)*$B$4</f>
        <v/>
      </c>
      <c r="S5" s="38">
        <f>SUM(K4:S4)*$B$4</f>
        <v/>
      </c>
      <c r="T5" s="38">
        <f>SUM(K4:T4)*$B$4</f>
        <v/>
      </c>
      <c r="U5" s="38">
        <f>SUM(K4:U4)*$B$4</f>
        <v/>
      </c>
      <c r="V5" s="38">
        <f>SUM(K4:V4)*$B$4</f>
        <v/>
      </c>
      <c r="W5" s="39" t="n"/>
      <c r="X5" s="28" t="n"/>
    </row>
    <row r="6" ht="27.75" customHeight="1">
      <c r="A6" s="30" t="inlineStr">
        <is>
          <t>LAST YEAR SALES</t>
        </is>
      </c>
      <c r="B6" s="31" t="n">
        <v>9000</v>
      </c>
      <c r="C6" s="40">
        <f>B5/B4</f>
        <v/>
      </c>
      <c r="D6" s="43" t="inlineStr">
        <is>
          <t>LEARNING LAB: BEHAVIOURS &amp; OBSERVATIONS</t>
        </is>
      </c>
      <c r="E6" s="41" t="n"/>
      <c r="F6" s="41" t="n"/>
      <c r="G6" s="41" t="n"/>
      <c r="H6" s="34" t="inlineStr">
        <is>
          <t>CUMULATIVE STRETCH TARGET</t>
        </is>
      </c>
      <c r="I6" s="368" t="n"/>
      <c r="J6" s="251" t="n"/>
      <c r="K6" s="38">
        <f>K4*B5</f>
        <v/>
      </c>
      <c r="L6" s="38">
        <f>SUM(K4:L4)*$B$5</f>
        <v/>
      </c>
      <c r="M6" s="38">
        <f>SUM(K4:M4)*$B$5</f>
        <v/>
      </c>
      <c r="N6" s="38">
        <f>SUM(K4:N4)*$B$5</f>
        <v/>
      </c>
      <c r="O6" s="38">
        <f>SUM(K4:O4)*$B$5</f>
        <v/>
      </c>
      <c r="P6" s="38">
        <f>SUM(K4:P4)*$B$5</f>
        <v/>
      </c>
      <c r="Q6" s="38">
        <f>SUM(K4:Q4)*$B$5</f>
        <v/>
      </c>
      <c r="R6" s="38">
        <f>SUM(K4:R4)*$B$5</f>
        <v/>
      </c>
      <c r="S6" s="38">
        <f>SUM(K4:S4)*$B$5</f>
        <v/>
      </c>
      <c r="T6" s="38">
        <f>SUM(K4:T4)*$B$5</f>
        <v/>
      </c>
      <c r="U6" s="38">
        <f>SUM(K4:U4)*$B$5</f>
        <v/>
      </c>
      <c r="V6" s="38">
        <f>SUM(K4:V4)*$B$5</f>
        <v/>
      </c>
      <c r="W6" s="39" t="n"/>
      <c r="X6" s="28" t="n"/>
    </row>
    <row r="7" ht="27.75" customHeight="1">
      <c r="A7" s="30" t="inlineStr">
        <is>
          <t>LAST YEAR TRAFFIC</t>
        </is>
      </c>
      <c r="B7" s="42" t="n">
        <v>400</v>
      </c>
      <c r="C7" s="3" t="n"/>
      <c r="E7" s="33" t="n"/>
      <c r="F7" s="33" t="n"/>
      <c r="G7" s="33" t="n"/>
      <c r="H7" s="44" t="inlineStr">
        <is>
          <t>CUMULATIVE SALES ACTUAL</t>
        </is>
      </c>
      <c r="I7" s="368" t="n"/>
      <c r="J7" s="252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171" t="n"/>
      <c r="W7" s="39" t="n"/>
      <c r="X7" s="28" t="n"/>
    </row>
    <row r="8" ht="27.75" customHeight="1">
      <c r="A8" s="30" t="inlineStr">
        <is>
          <t>CURRENT TRAFFIC TREND (+/-)</t>
        </is>
      </c>
      <c r="B8" s="46" t="n">
        <v>0.1</v>
      </c>
      <c r="C8" s="3" t="n"/>
      <c r="E8" s="43" t="inlineStr">
        <is>
          <t>1ST BREAK TAKEN</t>
        </is>
      </c>
      <c r="F8" s="43" t="inlineStr">
        <is>
          <t>2ND BREAK TAKEN (IF APPLICABLE)</t>
        </is>
      </c>
      <c r="G8" s="43" t="inlineStr">
        <is>
          <t>OTHER: __________________________________</t>
        </is>
      </c>
      <c r="H8" s="44" t="inlineStr">
        <is>
          <t>TRAFFIC</t>
        </is>
      </c>
      <c r="I8" s="368" t="n"/>
      <c r="J8" s="252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172" t="n"/>
      <c r="W8" s="39" t="n"/>
      <c r="X8" s="28" t="n"/>
    </row>
    <row r="9" ht="27.75" customHeight="1">
      <c r="A9" s="30" t="inlineStr">
        <is>
          <t>PROJECTED TRAFFIC</t>
        </is>
      </c>
      <c r="B9" s="48" t="n">
        <v>500</v>
      </c>
      <c r="C9" s="3" t="n"/>
      <c r="H9" s="44" t="inlineStr">
        <is>
          <t>TRANSACTIONS</t>
        </is>
      </c>
      <c r="I9" s="368" t="n"/>
      <c r="J9" s="253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172" t="n"/>
      <c r="W9" s="39" t="n"/>
      <c r="X9" s="28" t="n"/>
    </row>
    <row r="10" ht="27.75" customHeight="1">
      <c r="A10" s="30" t="inlineStr">
        <is>
          <t>TRANSACTION GOAL</t>
        </is>
      </c>
      <c r="B10" s="48" t="n">
        <v>100</v>
      </c>
      <c r="C10" s="3" t="n"/>
      <c r="H10" s="44" t="inlineStr">
        <is>
          <t>CONVERSION</t>
        </is>
      </c>
      <c r="I10" s="368" t="n"/>
      <c r="J10" s="252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173" t="n"/>
      <c r="W10" s="39" t="n"/>
      <c r="X10" s="28" t="n"/>
    </row>
    <row r="11" ht="27.75" customHeight="1">
      <c r="A11" s="30" t="inlineStr">
        <is>
          <t>CONVERSION TARGET</t>
        </is>
      </c>
      <c r="B11" s="46" t="n">
        <v>0.2</v>
      </c>
      <c r="C11" s="29" t="n"/>
      <c r="H11" s="44" t="inlineStr">
        <is>
          <t>UPT</t>
        </is>
      </c>
      <c r="I11" s="368" t="n"/>
      <c r="J11" s="252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174" t="n"/>
      <c r="W11" s="51" t="n"/>
      <c r="X11" s="28" t="n"/>
    </row>
    <row r="12" ht="27.75" customHeight="1">
      <c r="A12" s="30" t="inlineStr">
        <is>
          <t>UPT</t>
        </is>
      </c>
      <c r="B12" s="52" t="n">
        <v>2.3</v>
      </c>
      <c r="C12" s="29" t="n"/>
      <c r="H12" s="44" t="inlineStr">
        <is>
          <t>ATV</t>
        </is>
      </c>
      <c r="I12" s="368" t="n"/>
      <c r="J12" s="252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171" t="n"/>
      <c r="W12" s="51" t="n"/>
      <c r="X12" s="28" t="n"/>
    </row>
    <row r="13" ht="27.75" customHeight="1">
      <c r="A13" s="53" t="inlineStr">
        <is>
          <t>ATV</t>
        </is>
      </c>
      <c r="B13" s="54" t="n">
        <v>100</v>
      </c>
      <c r="C13" s="3" t="n"/>
      <c r="H13" s="44" t="inlineStr">
        <is>
          <t>OTHER: _________________</t>
        </is>
      </c>
      <c r="I13" s="368" t="n"/>
      <c r="J13" s="254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171" t="n"/>
      <c r="W13" s="51" t="n"/>
      <c r="X13" s="56" t="n"/>
    </row>
    <row r="14" ht="27.75" customHeight="1">
      <c r="A14" s="57" t="inlineStr">
        <is>
          <t>M O N T H   T O   D A T E   P E R F O R M A N C E</t>
        </is>
      </c>
      <c r="B14" s="371" t="n"/>
      <c r="C14" s="3" t="n"/>
      <c r="H14" s="59" t="inlineStr">
        <is>
          <t>CEL SIGN-OFF (INITIALS)</t>
        </is>
      </c>
      <c r="I14" s="372" t="n"/>
      <c r="J14" s="255" t="n"/>
      <c r="K14" s="61" t="n"/>
      <c r="L14" s="61" t="n"/>
      <c r="M14" s="61" t="n"/>
      <c r="N14" s="61" t="n"/>
      <c r="O14" s="61" t="n"/>
      <c r="P14" s="61" t="n"/>
      <c r="Q14" s="61" t="n"/>
      <c r="R14" s="61" t="n"/>
      <c r="S14" s="61" t="n"/>
      <c r="T14" s="61" t="n"/>
      <c r="U14" s="61" t="n"/>
      <c r="V14" s="61" t="n"/>
      <c r="W14" s="62" t="n"/>
      <c r="X14" s="56" t="n"/>
    </row>
    <row r="15" ht="27.75" customHeight="1">
      <c r="A15" s="20" t="inlineStr">
        <is>
          <t>MONTH SALES PLAN</t>
        </is>
      </c>
      <c r="B15" s="63" t="n">
        <v>453745</v>
      </c>
      <c r="C15" s="3" t="n"/>
      <c r="H15" s="159" t="n"/>
      <c r="I15" s="64" t="n"/>
      <c r="J15" s="64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  <c r="W15" s="2" t="n"/>
      <c r="X15" s="56" t="n"/>
    </row>
    <row r="16" ht="27.75" customHeight="1">
      <c r="A16" s="30" t="inlineStr">
        <is>
          <t>MONTH TO DATE SALES</t>
        </is>
      </c>
      <c r="B16" s="31" t="n"/>
      <c r="C16" s="3" t="n"/>
      <c r="H16" s="69" t="inlineStr">
        <is>
          <t>Z O N E   C H A R T</t>
        </is>
      </c>
      <c r="I16" s="373" t="n"/>
      <c r="J16" s="373" t="n"/>
      <c r="K16" s="373" t="n"/>
      <c r="L16" s="373" t="n"/>
      <c r="M16" s="373" t="n"/>
      <c r="N16" s="373" t="n"/>
      <c r="O16" s="373" t="n"/>
      <c r="P16" s="373" t="n"/>
      <c r="Q16" s="373" t="n"/>
      <c r="R16" s="373" t="n"/>
      <c r="S16" s="373" t="n"/>
      <c r="T16" s="373" t="n"/>
      <c r="U16" s="373" t="n"/>
      <c r="V16" s="373" t="n"/>
      <c r="W16" s="371" t="n"/>
      <c r="X16" s="56" t="n"/>
    </row>
    <row r="17" ht="27.75" customHeight="1">
      <c r="A17" s="30" t="inlineStr">
        <is>
          <t>% TO MONTH SALES PLAN</t>
        </is>
      </c>
      <c r="B17" s="205" t="n"/>
      <c r="C17" s="3" t="n"/>
      <c r="H17" s="177" t="inlineStr">
        <is>
          <t>Name</t>
        </is>
      </c>
      <c r="I17" s="75" t="inlineStr">
        <is>
          <t>Shift</t>
        </is>
      </c>
      <c r="J17" s="75" t="inlineStr">
        <is>
          <t>8am-9am</t>
        </is>
      </c>
      <c r="K17" s="76">
        <f>K$3</f>
        <v/>
      </c>
      <c r="L17" s="76">
        <f>L$3</f>
        <v/>
      </c>
      <c r="M17" s="76">
        <f>M$3</f>
        <v/>
      </c>
      <c r="N17" s="76">
        <f>N$3</f>
        <v/>
      </c>
      <c r="O17" s="76">
        <f>O$3</f>
        <v/>
      </c>
      <c r="P17" s="76">
        <f>P$3</f>
        <v/>
      </c>
      <c r="Q17" s="76">
        <f>Q$3</f>
        <v/>
      </c>
      <c r="R17" s="76">
        <f>R$3</f>
        <v/>
      </c>
      <c r="S17" s="76">
        <f>S$3</f>
        <v/>
      </c>
      <c r="T17" s="76">
        <f>T$3</f>
        <v/>
      </c>
      <c r="U17" s="76">
        <f>U$3</f>
        <v/>
      </c>
      <c r="V17" s="76">
        <f>V$3</f>
        <v/>
      </c>
      <c r="W17" s="79" t="inlineStr">
        <is>
          <t>Sales Target</t>
        </is>
      </c>
      <c r="X17" s="56" t="n"/>
    </row>
    <row r="18" ht="27.75" customHeight="1">
      <c r="A18" s="30" t="n"/>
      <c r="B18" s="205" t="n"/>
      <c r="C18" s="3" t="n"/>
      <c r="H18" s="98" t="inlineStr">
        <is>
          <t>DARCY</t>
        </is>
      </c>
      <c r="I18" s="99" t="inlineStr">
        <is>
          <t>8-430</t>
        </is>
      </c>
      <c r="J18" s="210" t="inlineStr">
        <is>
          <t>TASK</t>
        </is>
      </c>
      <c r="K18" s="277" t="inlineStr">
        <is>
          <t>TASK</t>
        </is>
      </c>
      <c r="L18" s="179" t="inlineStr">
        <is>
          <t>TASK</t>
        </is>
      </c>
      <c r="M18" s="179" t="inlineStr">
        <is>
          <t>TASK</t>
        </is>
      </c>
      <c r="N18" s="179" t="inlineStr">
        <is>
          <t>TASK</t>
        </is>
      </c>
      <c r="O18" s="86" t="inlineStr">
        <is>
          <t>MENS</t>
        </is>
      </c>
      <c r="P18" s="179" t="inlineStr">
        <is>
          <t>MENS</t>
        </is>
      </c>
      <c r="Q18" s="179" t="inlineStr">
        <is>
          <t>CASH</t>
        </is>
      </c>
      <c r="R18" s="45" t="n"/>
      <c r="S18" s="45" t="n"/>
      <c r="T18" s="45" t="n"/>
      <c r="U18" s="45" t="n"/>
      <c r="V18" s="45" t="n"/>
      <c r="W18" s="89" t="n"/>
      <c r="X18" s="56" t="n"/>
    </row>
    <row r="19" ht="27.75" customHeight="1">
      <c r="A19" s="30" t="n"/>
      <c r="B19" s="205" t="n"/>
      <c r="C19" s="3" t="n"/>
      <c r="H19" s="98" t="inlineStr">
        <is>
          <t>MIKAELA</t>
        </is>
      </c>
      <c r="I19" s="99" t="inlineStr">
        <is>
          <t>8-12:45</t>
        </is>
      </c>
      <c r="J19" s="210" t="inlineStr">
        <is>
          <t>TASK</t>
        </is>
      </c>
      <c r="K19" s="278" t="n"/>
      <c r="L19" s="278" t="n"/>
      <c r="M19" s="278" t="n"/>
      <c r="N19" s="278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89" t="n"/>
      <c r="X19" s="56" t="n"/>
    </row>
    <row r="20" hidden="1" ht="17.25" customHeight="1">
      <c r="A20" s="94" t="n"/>
      <c r="B20" s="95">
        <f>B15+#REF!</f>
        <v/>
      </c>
      <c r="C20" s="3" t="n"/>
      <c r="D20" s="96" t="n"/>
      <c r="E20" s="96" t="n"/>
      <c r="F20" s="96" t="n"/>
      <c r="G20" s="97" t="n"/>
      <c r="H20" s="98" t="inlineStr">
        <is>
          <t>MICHAEL</t>
        </is>
      </c>
      <c r="I20" s="99" t="inlineStr">
        <is>
          <t>12-5</t>
        </is>
      </c>
      <c r="J20" s="21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89" t="n"/>
      <c r="X20" s="56" t="n"/>
    </row>
    <row r="21" hidden="1" ht="17.25" customHeight="1">
      <c r="A21" s="100" t="n"/>
      <c r="B21" s="101" t="n">
        <v>1</v>
      </c>
      <c r="C21" s="3" t="n"/>
      <c r="D21" s="96" t="n"/>
      <c r="E21" s="96" t="n"/>
      <c r="F21" s="96" t="n"/>
      <c r="G21" s="97" t="n"/>
      <c r="H21" s="98" t="n"/>
      <c r="I21" s="129" t="n"/>
      <c r="J21" s="21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89" t="n"/>
      <c r="X21" s="56" t="n"/>
    </row>
    <row r="22" ht="27.75" customHeight="1">
      <c r="A22" s="112" t="n"/>
      <c r="B22" s="113" t="n"/>
      <c r="C22" s="3" t="n"/>
      <c r="D22" s="96" t="n"/>
      <c r="E22" s="96" t="n"/>
      <c r="F22" s="96" t="n"/>
      <c r="G22" s="97" t="n"/>
      <c r="H22" s="98" t="inlineStr">
        <is>
          <t>RICKY</t>
        </is>
      </c>
      <c r="I22" s="99" t="inlineStr">
        <is>
          <t>10-630</t>
        </is>
      </c>
      <c r="J22" s="215" t="n"/>
      <c r="K22" s="45" t="n"/>
      <c r="L22" s="49" t="inlineStr">
        <is>
          <t>CEL</t>
        </is>
      </c>
      <c r="M22" s="49" t="inlineStr">
        <is>
          <t>CEL</t>
        </is>
      </c>
      <c r="N22" s="49" t="inlineStr">
        <is>
          <t>CEL</t>
        </is>
      </c>
      <c r="O22" s="49" t="inlineStr">
        <is>
          <t>WOMENS</t>
        </is>
      </c>
      <c r="P22" s="49" t="inlineStr">
        <is>
          <t>MENS</t>
        </is>
      </c>
      <c r="Q22" s="49" t="inlineStr">
        <is>
          <t>CEL</t>
        </is>
      </c>
      <c r="R22" s="49" t="inlineStr">
        <is>
          <t>CEL</t>
        </is>
      </c>
      <c r="S22" s="49" t="inlineStr">
        <is>
          <t>CEL</t>
        </is>
      </c>
      <c r="T22" s="45" t="n"/>
      <c r="U22" s="45" t="n"/>
      <c r="V22" s="45" t="n"/>
      <c r="W22" s="89" t="n"/>
      <c r="X22" s="274" t="n"/>
    </row>
    <row r="23" ht="27.75" customHeight="1">
      <c r="A23" s="106" t="inlineStr">
        <is>
          <t>DENIM: 69.99 when you buy 2 or more</t>
        </is>
      </c>
      <c r="C23" s="3" t="n"/>
      <c r="D23" s="96" t="n"/>
      <c r="E23" s="96" t="n"/>
      <c r="F23" s="96" t="n"/>
      <c r="G23" s="97" t="n"/>
      <c r="H23" s="98" t="inlineStr">
        <is>
          <t>SABZ</t>
        </is>
      </c>
      <c r="I23" s="99" t="inlineStr">
        <is>
          <t>10-5</t>
        </is>
      </c>
      <c r="J23" s="215" t="n"/>
      <c r="K23" s="45" t="n"/>
      <c r="L23" s="49" t="inlineStr">
        <is>
          <t>FLEX</t>
        </is>
      </c>
      <c r="M23" s="125" t="n"/>
      <c r="N23" s="125" t="n"/>
      <c r="O23" s="125" t="n"/>
      <c r="P23" s="125" t="n"/>
      <c r="Q23" s="125" t="n"/>
      <c r="R23" s="125" t="n"/>
      <c r="S23" s="45" t="n"/>
      <c r="T23" s="45" t="n"/>
      <c r="U23" s="45" t="n"/>
      <c r="V23" s="45" t="n"/>
      <c r="W23" s="89" t="n"/>
      <c r="X23" s="274" t="n"/>
    </row>
    <row r="24" ht="27.75" customHeight="1">
      <c r="A24" s="106" t="inlineStr">
        <is>
          <t xml:space="preserve">TOPS, OUTERWEAR, SHORTS: BOGO 50% </t>
        </is>
      </c>
      <c r="C24" s="3" t="n"/>
      <c r="D24" s="96" t="n"/>
      <c r="E24" s="96" t="n"/>
      <c r="F24" s="96" t="n"/>
      <c r="G24" s="97" t="n"/>
      <c r="H24" s="98" t="inlineStr">
        <is>
          <t>AMITA</t>
        </is>
      </c>
      <c r="I24" s="99" t="inlineStr">
        <is>
          <t>11:15-4</t>
        </is>
      </c>
      <c r="J24" s="215" t="n"/>
      <c r="K24" s="119" t="n"/>
      <c r="L24" s="45" t="n"/>
      <c r="M24" s="49" t="inlineStr">
        <is>
          <t>WOMENS</t>
        </is>
      </c>
      <c r="N24" s="115" t="inlineStr">
        <is>
          <t>FITS</t>
        </is>
      </c>
      <c r="O24" s="108" t="n"/>
      <c r="P24" s="108" t="n"/>
      <c r="Q24" s="108" t="n"/>
      <c r="R24" s="45" t="n"/>
      <c r="S24" s="45" t="n"/>
      <c r="T24" s="45" t="n"/>
      <c r="U24" s="45" t="n"/>
      <c r="V24" s="45" t="n"/>
      <c r="W24" s="89" t="n"/>
      <c r="X24" s="274" t="n"/>
    </row>
    <row r="25" ht="27.75" customHeight="1">
      <c r="A25" s="106" t="inlineStr">
        <is>
          <t>Clearance additional 40% off</t>
        </is>
      </c>
      <c r="C25" s="3" t="n"/>
      <c r="D25" s="96" t="n"/>
      <c r="E25" s="96" t="n"/>
      <c r="F25" s="96" t="n"/>
      <c r="G25" s="97" t="n"/>
      <c r="H25" s="98" t="inlineStr">
        <is>
          <t>MARIA</t>
        </is>
      </c>
      <c r="I25" s="99" t="inlineStr">
        <is>
          <t>12:15-5</t>
        </is>
      </c>
      <c r="J25" s="215" t="n"/>
      <c r="K25" s="138" t="n"/>
      <c r="L25" s="45" t="n"/>
      <c r="M25" s="45" t="n"/>
      <c r="N25" s="115" t="inlineStr">
        <is>
          <t>MENS</t>
        </is>
      </c>
      <c r="O25" s="115" t="inlineStr">
        <is>
          <t>MENS</t>
        </is>
      </c>
      <c r="P25" s="115" t="inlineStr">
        <is>
          <t>WOMENS</t>
        </is>
      </c>
      <c r="Q25" s="91" t="inlineStr">
        <is>
          <t>WOMENS</t>
        </is>
      </c>
      <c r="R25" s="91" t="inlineStr">
        <is>
          <t>FITS</t>
        </is>
      </c>
      <c r="S25" s="45" t="n"/>
      <c r="T25" s="45" t="n"/>
      <c r="U25" s="45" t="n"/>
      <c r="V25" s="45" t="n"/>
      <c r="W25" s="89" t="n"/>
      <c r="X25" s="274" t="n"/>
    </row>
    <row r="26" ht="27.75" customHeight="1">
      <c r="A26" s="117" t="n"/>
      <c r="B26" s="2" t="n"/>
      <c r="C26" s="3" t="n"/>
      <c r="D26" s="96" t="n"/>
      <c r="E26" s="96" t="n"/>
      <c r="F26" s="96" t="n"/>
      <c r="G26" s="97" t="n"/>
      <c r="H26" s="98" t="inlineStr">
        <is>
          <t>TARAN</t>
        </is>
      </c>
      <c r="I26" s="99" t="inlineStr">
        <is>
          <t>1-930</t>
        </is>
      </c>
      <c r="J26" s="210" t="n"/>
      <c r="K26" s="45" t="n"/>
      <c r="L26" s="45" t="n"/>
      <c r="M26" s="45" t="n"/>
      <c r="N26" s="45" t="n"/>
      <c r="O26" s="49" t="inlineStr">
        <is>
          <t>CEL</t>
        </is>
      </c>
      <c r="P26" s="86" t="inlineStr">
        <is>
          <t>CEL</t>
        </is>
      </c>
      <c r="Q26" s="269" t="inlineStr">
        <is>
          <t>MENS</t>
        </is>
      </c>
      <c r="R26" s="179" t="inlineStr">
        <is>
          <t>MENS</t>
        </is>
      </c>
      <c r="S26" s="269" t="inlineStr">
        <is>
          <t>MENS</t>
        </is>
      </c>
      <c r="T26" s="86" t="inlineStr">
        <is>
          <t>CEL</t>
        </is>
      </c>
      <c r="U26" s="86" t="inlineStr">
        <is>
          <t>CEL</t>
        </is>
      </c>
      <c r="V26" s="86" t="inlineStr">
        <is>
          <t>CEL</t>
        </is>
      </c>
      <c r="W26" s="89" t="n"/>
      <c r="X26" s="274" t="n"/>
    </row>
    <row r="27" ht="27.75" customHeight="1">
      <c r="A27" s="279" t="n"/>
      <c r="C27" s="3" t="n"/>
      <c r="D27" s="96" t="n"/>
      <c r="E27" s="96" t="n"/>
      <c r="F27" s="96" t="n"/>
      <c r="G27" s="97" t="n"/>
      <c r="H27" s="98" t="inlineStr">
        <is>
          <t>GIA</t>
        </is>
      </c>
      <c r="I27" s="99" t="inlineStr">
        <is>
          <t>2:15-7</t>
        </is>
      </c>
      <c r="J27" s="210" t="n"/>
      <c r="K27" s="45" t="n"/>
      <c r="L27" s="45" t="n"/>
      <c r="M27" s="45" t="n"/>
      <c r="N27" s="45" t="n"/>
      <c r="O27" s="45" t="n"/>
      <c r="P27" s="49" t="inlineStr">
        <is>
          <t>CASH</t>
        </is>
      </c>
      <c r="Q27" s="115" t="inlineStr">
        <is>
          <t>CASH</t>
        </is>
      </c>
      <c r="R27" s="115" t="inlineStr">
        <is>
          <t>WOMENS</t>
        </is>
      </c>
      <c r="S27" s="92" t="inlineStr">
        <is>
          <t>WOMENS</t>
        </is>
      </c>
      <c r="T27" s="92" t="inlineStr">
        <is>
          <t>WOMENS</t>
        </is>
      </c>
      <c r="U27" s="45" t="n"/>
      <c r="V27" s="45" t="n"/>
      <c r="W27" s="89" t="n"/>
      <c r="X27" s="274" t="n"/>
    </row>
    <row r="28" ht="27.75" customHeight="1">
      <c r="A28" s="186" t="n"/>
      <c r="C28" s="3" t="n"/>
      <c r="D28" s="96" t="n"/>
      <c r="E28" s="96" t="n"/>
      <c r="F28" s="96" t="n"/>
      <c r="G28" s="97" t="n"/>
      <c r="H28" s="98" t="inlineStr">
        <is>
          <t>SARAH</t>
        </is>
      </c>
      <c r="I28" s="99" t="inlineStr">
        <is>
          <t>4:45-930</t>
        </is>
      </c>
      <c r="J28" s="215" t="n"/>
      <c r="K28" s="45" t="n"/>
      <c r="L28" s="45" t="n"/>
      <c r="M28" s="45" t="n"/>
      <c r="N28" s="45" t="n"/>
      <c r="O28" s="45" t="n"/>
      <c r="P28" s="45" t="n"/>
      <c r="Q28" s="45" t="n"/>
      <c r="R28" s="49" t="inlineStr">
        <is>
          <t>FITS</t>
        </is>
      </c>
      <c r="S28" s="108" t="n"/>
      <c r="T28" s="108" t="n"/>
      <c r="U28" s="108" t="n"/>
      <c r="V28" s="108" t="n"/>
      <c r="W28" s="280" t="inlineStr">
        <is>
          <t>PRE-CLOSE</t>
        </is>
      </c>
      <c r="X28" s="127">
        <f>COUNTIF(#REF!,$R$46)+COUNTIF(#REF!,$S$46)+COUNTIF(#REF!,$M$46)+COUNTIF(#REF!,$N$46)+COUNTIF(#REF!,$O$46)+COUNTIF(#REF!,$P$46)+COUNTIF(#REF!,$Q$46)</f>
        <v/>
      </c>
    </row>
    <row r="29" ht="27.75" customHeight="1">
      <c r="A29" s="186" t="n"/>
      <c r="C29" s="124" t="n"/>
      <c r="D29" s="96" t="n"/>
      <c r="E29" s="96" t="n"/>
      <c r="F29" s="96" t="n"/>
      <c r="G29" s="97" t="n"/>
      <c r="H29" s="98" t="inlineStr">
        <is>
          <t>JASMIN</t>
        </is>
      </c>
      <c r="I29" s="99" t="inlineStr">
        <is>
          <t>4:45-930</t>
        </is>
      </c>
      <c r="J29" s="215" t="n"/>
      <c r="K29" s="45" t="n"/>
      <c r="L29" s="45" t="n"/>
      <c r="M29" s="45" t="n"/>
      <c r="N29" s="45" t="n"/>
      <c r="O29" s="45" t="n"/>
      <c r="P29" s="45" t="n"/>
      <c r="Q29" s="45" t="n"/>
      <c r="R29" s="49" t="inlineStr">
        <is>
          <t>WOMENS</t>
        </is>
      </c>
      <c r="S29" s="93" t="n"/>
      <c r="T29" s="93" t="n"/>
      <c r="U29" s="93" t="n"/>
      <c r="V29" s="93" t="n"/>
      <c r="W29" s="89" t="n"/>
      <c r="X29" s="127">
        <f>COUNTIF(#REF!,$R$46)+COUNTIF(#REF!,$S$46)+COUNTIF(#REF!,$M$46)+COUNTIF(#REF!,$N$46)+COUNTIF(#REF!,$O$46)+COUNTIF(#REF!,$P$46)+COUNTIF(#REF!,$Q$46)</f>
        <v/>
      </c>
    </row>
    <row r="30" ht="27.75" customHeight="1">
      <c r="A30" s="186" t="n"/>
      <c r="C30" s="124" t="n"/>
      <c r="D30" s="96" t="n"/>
      <c r="E30" s="96" t="n"/>
      <c r="F30" s="96" t="n"/>
      <c r="G30" s="97" t="n"/>
      <c r="H30" s="98" t="inlineStr">
        <is>
          <t>TRISHA</t>
        </is>
      </c>
      <c r="I30" s="99" t="inlineStr">
        <is>
          <t>4:45-930</t>
        </is>
      </c>
      <c r="J30" s="215" t="n"/>
      <c r="K30" s="45" t="n"/>
      <c r="L30" s="45" t="n"/>
      <c r="M30" s="45" t="n"/>
      <c r="N30" s="45" t="n"/>
      <c r="O30" s="45" t="n"/>
      <c r="P30" s="45" t="n"/>
      <c r="Q30" s="45" t="n"/>
      <c r="R30" s="49" t="inlineStr">
        <is>
          <t>MENS</t>
        </is>
      </c>
      <c r="S30" s="104" t="n"/>
      <c r="T30" s="104" t="n"/>
      <c r="U30" s="104" t="n"/>
      <c r="V30" s="104" t="n"/>
      <c r="W30" s="89" t="n"/>
      <c r="X30" s="127">
        <f>COUNTIF(K30:V30,$R$46)+COUNTIF(K30:V30,$S$46)+COUNTIF(K30:V30,$M$46)+COUNTIF(K30:V30,$N$46)+COUNTIF(K30:V30,$O$46)+COUNTIF(K30:V30,$P$46)+COUNTIF(K30:V30,$Q$46)</f>
        <v/>
      </c>
    </row>
    <row r="31" ht="27.75" customHeight="1">
      <c r="A31" s="263" t="inlineStr">
        <is>
          <t>BRAND ENVIRONMENT</t>
        </is>
      </c>
      <c r="C31" s="124" t="n"/>
      <c r="D31" s="96" t="n"/>
      <c r="E31" s="96" t="n"/>
      <c r="F31" s="96" t="n"/>
      <c r="G31" s="97" t="n"/>
      <c r="H31" s="98" t="inlineStr">
        <is>
          <t>TALIA</t>
        </is>
      </c>
      <c r="I31" s="99" t="inlineStr">
        <is>
          <t>430-9</t>
        </is>
      </c>
      <c r="J31" s="129" t="n"/>
      <c r="K31" s="119" t="n"/>
      <c r="L31" s="119" t="n"/>
      <c r="M31" s="119" t="n"/>
      <c r="N31" s="119" t="n"/>
      <c r="O31" s="119" t="n"/>
      <c r="P31" s="119" t="n"/>
      <c r="Q31" s="119" t="n"/>
      <c r="R31" s="87" t="inlineStr">
        <is>
          <t>SHIPMENT</t>
        </is>
      </c>
      <c r="S31" s="241" t="n"/>
      <c r="T31" s="241" t="n"/>
      <c r="U31" s="241" t="n"/>
      <c r="V31" s="241" t="n"/>
      <c r="W31" s="89" t="n"/>
      <c r="X31" s="127">
        <f>COUNTIF(#REF!,$R$46)+COUNTIF(#REF!,$S$46)+COUNTIF(#REF!,$M$46)+COUNTIF(#REF!,$N$46)+COUNTIF(#REF!,$O$46)+COUNTIF(#REF!,$P$46)+COUNTIF(#REF!,$Q$46)</f>
        <v/>
      </c>
    </row>
    <row r="32" ht="27.75" customHeight="1">
      <c r="A32" s="186" t="n"/>
      <c r="C32" s="124" t="n"/>
      <c r="D32" s="96" t="n"/>
      <c r="E32" s="96" t="n"/>
      <c r="F32" s="96" t="n"/>
      <c r="G32" s="97" t="n"/>
      <c r="H32" s="98" t="inlineStr">
        <is>
          <t>ELLA</t>
        </is>
      </c>
      <c r="I32" s="99" t="inlineStr">
        <is>
          <t>430-9</t>
        </is>
      </c>
      <c r="J32" s="215" t="n"/>
      <c r="K32" s="45" t="n"/>
      <c r="L32" s="45" t="n"/>
      <c r="M32" s="45" t="n"/>
      <c r="N32" s="119" t="n"/>
      <c r="O32" s="119" t="n"/>
      <c r="P32" s="119" t="n"/>
      <c r="Q32" s="119" t="n"/>
      <c r="R32" s="87" t="inlineStr">
        <is>
          <t>SHIPMENT</t>
        </is>
      </c>
      <c r="S32" s="241" t="n"/>
      <c r="T32" s="241" t="n"/>
      <c r="U32" s="241" t="n"/>
      <c r="V32" s="241" t="n"/>
      <c r="W32" s="89" t="n"/>
      <c r="X32" s="127">
        <f>COUNTIF(K31:V31,$R$46)+COUNTIF(K31:V31,$S$46)+COUNTIF(K31:V31,$M$46)+COUNTIF(K31:V31,$N$46)+COUNTIF(K31:V31,$O$46)+COUNTIF(K31:V31,$P$46)+COUNTIF(K31:V31,$Q$46)</f>
        <v/>
      </c>
    </row>
    <row r="33" ht="27.75" customHeight="1">
      <c r="A33" s="186" t="n"/>
      <c r="C33" s="124" t="n"/>
      <c r="D33" s="96" t="n"/>
      <c r="E33" s="96" t="n"/>
      <c r="F33" s="96" t="n"/>
      <c r="G33" s="97" t="n"/>
      <c r="H33" s="98" t="n"/>
      <c r="I33" s="129" t="n"/>
      <c r="J33" s="129" t="n"/>
      <c r="K33" s="119" t="n"/>
      <c r="L33" s="119" t="n"/>
      <c r="M33" s="119" t="n"/>
      <c r="N33" s="119" t="n"/>
      <c r="O33" s="119" t="n"/>
      <c r="P33" s="119" t="n"/>
      <c r="Q33" s="119" t="n"/>
      <c r="R33" s="119" t="n"/>
      <c r="S33" s="119" t="n"/>
      <c r="T33" s="119" t="n"/>
      <c r="U33" s="119" t="n"/>
      <c r="V33" s="119" t="n"/>
      <c r="W33" s="89" t="n"/>
      <c r="X33" s="127">
        <f>COUNTIF(K32:V32,$R$46)+COUNTIF(K32:V32,$S$46)+COUNTIF(K32:V32,$M$46)+COUNTIF(K32:V32,$N$46)+COUNTIF(K32:V32,$O$46)+COUNTIF(K32:V32,$P$46)+COUNTIF(K32:V32,$Q$46)</f>
        <v/>
      </c>
    </row>
    <row r="34" ht="27.75" customHeight="1">
      <c r="A34" s="263" t="inlineStr">
        <is>
          <t>HEALTHY &amp; SAFETY</t>
        </is>
      </c>
      <c r="C34" s="124" t="n"/>
      <c r="D34" s="96" t="n"/>
      <c r="E34" s="96" t="n"/>
      <c r="F34" s="96" t="n"/>
      <c r="G34" s="97" t="n"/>
      <c r="H34" s="98" t="n"/>
      <c r="I34" s="129" t="n"/>
      <c r="J34" s="129" t="n"/>
      <c r="K34" s="119" t="n"/>
      <c r="L34" s="119" t="n"/>
      <c r="M34" s="119" t="n"/>
      <c r="N34" s="119" t="n"/>
      <c r="O34" s="119" t="n"/>
      <c r="P34" s="119" t="n"/>
      <c r="Q34" s="119" t="n"/>
      <c r="R34" s="119" t="n"/>
      <c r="S34" s="119" t="n"/>
      <c r="T34" s="119" t="n"/>
      <c r="U34" s="119" t="n"/>
      <c r="V34" s="119" t="n"/>
      <c r="W34" s="89" t="n"/>
      <c r="X34" s="127">
        <f>COUNTIF(K33:V33,$R$46)+COUNTIF(K33:V33,$S$46)+COUNTIF(K33:V33,$M$46)+COUNTIF(K33:V33,$N$46)+COUNTIF(K33:V33,$O$46)+COUNTIF(K33:V33,$P$46)+COUNTIF(K33:V33,$Q$46)</f>
        <v/>
      </c>
    </row>
    <row r="35" ht="27.75" customHeight="1">
      <c r="A35" s="186" t="n"/>
      <c r="C35" s="124" t="n"/>
      <c r="D35" s="96" t="n"/>
      <c r="E35" s="96" t="n"/>
      <c r="F35" s="96" t="n"/>
      <c r="G35" s="97" t="n"/>
      <c r="H35" s="98" t="n"/>
      <c r="I35" s="129" t="n"/>
      <c r="J35" s="129" t="n"/>
      <c r="K35" s="119" t="n"/>
      <c r="L35" s="119" t="n"/>
      <c r="M35" s="119" t="n"/>
      <c r="N35" s="119" t="n"/>
      <c r="O35" s="119" t="n"/>
      <c r="P35" s="119" t="n"/>
      <c r="Q35" s="119" t="n"/>
      <c r="R35" s="119" t="n"/>
      <c r="S35" s="119" t="n"/>
      <c r="T35" s="119" t="n"/>
      <c r="U35" s="119" t="n"/>
      <c r="V35" s="119" t="n"/>
      <c r="W35" s="89" t="n"/>
      <c r="X35" s="127">
        <f>COUNTIF(K34:V34,$R$46)+COUNTIF(K34:V34,$S$46)+COUNTIF(K34:V34,$M$46)+COUNTIF(K34:V34,$N$46)+COUNTIF(K34:V34,$O$46)+COUNTIF(K34:V34,$P$46)+COUNTIF(K34:V34,$Q$46)</f>
        <v/>
      </c>
    </row>
    <row r="36" ht="27.75" customHeight="1">
      <c r="A36" s="186" t="n"/>
      <c r="C36" s="124" t="n"/>
      <c r="D36" s="96" t="n"/>
      <c r="E36" s="96" t="n"/>
      <c r="F36" s="96" t="n"/>
      <c r="G36" s="97" t="n"/>
      <c r="H36" s="98" t="n"/>
      <c r="I36" s="129" t="n"/>
      <c r="J36" s="129" t="n"/>
      <c r="K36" s="119" t="n"/>
      <c r="L36" s="119" t="n"/>
      <c r="M36" s="119" t="n"/>
      <c r="N36" s="119" t="n"/>
      <c r="O36" s="119" t="n"/>
      <c r="P36" s="119" t="n"/>
      <c r="Q36" s="119" t="n"/>
      <c r="R36" s="119" t="n"/>
      <c r="S36" s="119" t="n"/>
      <c r="T36" s="119" t="n"/>
      <c r="U36" s="119" t="n"/>
      <c r="V36" s="119" t="n"/>
      <c r="W36" s="89" t="n"/>
      <c r="X36" s="127">
        <f>COUNTIF(K35:V35,$R$46)+COUNTIF(K35:V35,$S$46)+COUNTIF(K35:V35,$M$46)+COUNTIF(K35:V35,$N$46)+COUNTIF(K35:V35,$O$46)+COUNTIF(K35:V35,$P$46)+COUNTIF(K35:V35,$Q$46)</f>
        <v/>
      </c>
    </row>
    <row r="37" ht="27.75" customHeight="1">
      <c r="A37" s="263" t="inlineStr">
        <is>
          <t>LOSS PREVENTION</t>
        </is>
      </c>
      <c r="C37" s="124" t="n"/>
      <c r="D37" s="96" t="n"/>
      <c r="E37" s="96" t="n"/>
      <c r="F37" s="96" t="n"/>
      <c r="G37" s="97" t="n"/>
      <c r="H37" s="98" t="n"/>
      <c r="I37" s="129" t="n"/>
      <c r="J37" s="129" t="n"/>
      <c r="K37" s="119" t="n"/>
      <c r="L37" s="119" t="n"/>
      <c r="M37" s="119" t="n"/>
      <c r="N37" s="119" t="n"/>
      <c r="O37" s="119" t="n"/>
      <c r="P37" s="119" t="n"/>
      <c r="Q37" s="119" t="n"/>
      <c r="R37" s="119" t="n"/>
      <c r="S37" s="119" t="n"/>
      <c r="T37" s="119" t="n"/>
      <c r="U37" s="119" t="n"/>
      <c r="V37" s="119" t="n"/>
      <c r="W37" s="89" t="n"/>
      <c r="X37" s="127">
        <f>COUNTIF(K36:V36,$R$46)+COUNTIF(K36:V36,$S$46)+COUNTIF(K36:V36,$M$46)+COUNTIF(K36:V36,$N$46)+COUNTIF(K36:V36,$O$46)+COUNTIF(K36:V36,$P$46)+COUNTIF(K36:V36,$Q$46)</f>
        <v/>
      </c>
    </row>
    <row r="38" ht="27.75" customHeight="1">
      <c r="A38" s="186" t="n"/>
      <c r="C38" s="124" t="n"/>
      <c r="D38" s="96" t="n"/>
      <c r="E38" s="96" t="n"/>
      <c r="F38" s="96" t="n"/>
      <c r="G38" s="97" t="n"/>
      <c r="H38" s="98" t="n"/>
      <c r="I38" s="129" t="n"/>
      <c r="J38" s="129" t="n"/>
      <c r="K38" s="119" t="n"/>
      <c r="L38" s="119" t="n"/>
      <c r="M38" s="119" t="n"/>
      <c r="N38" s="119" t="n"/>
      <c r="O38" s="119" t="n"/>
      <c r="P38" s="119" t="n"/>
      <c r="Q38" s="119" t="n"/>
      <c r="R38" s="119" t="n"/>
      <c r="S38" s="119" t="n"/>
      <c r="T38" s="119" t="n"/>
      <c r="U38" s="119" t="n"/>
      <c r="V38" s="119" t="n"/>
      <c r="W38" s="89" t="n"/>
      <c r="X38" s="127">
        <f>COUNTIF(K37:V37,$R$46)+COUNTIF(K37:V37,$S$46)+COUNTIF(K37:V37,$M$46)+COUNTIF(K37:V37,$N$46)+COUNTIF(K37:V37,$O$46)+COUNTIF(K37:V37,$P$46)+COUNTIF(K37:V37,$Q$46)</f>
        <v/>
      </c>
    </row>
    <row r="39" ht="27.75" customHeight="1">
      <c r="A39" s="186" t="n"/>
      <c r="C39" s="124" t="n"/>
      <c r="D39" s="96" t="n"/>
      <c r="E39" s="96" t="n"/>
      <c r="F39" s="96" t="n"/>
      <c r="G39" s="97" t="n"/>
      <c r="H39" s="98" t="n"/>
      <c r="I39" s="129" t="n"/>
      <c r="J39" s="129" t="n"/>
      <c r="K39" s="119" t="n"/>
      <c r="L39" s="119" t="n"/>
      <c r="M39" s="119" t="n"/>
      <c r="N39" s="119" t="n"/>
      <c r="O39" s="119" t="n"/>
      <c r="P39" s="119" t="n"/>
      <c r="Q39" s="119" t="n"/>
      <c r="R39" s="119" t="n"/>
      <c r="S39" s="119" t="n"/>
      <c r="T39" s="119" t="n"/>
      <c r="U39" s="119" t="n"/>
      <c r="V39" s="119" t="n"/>
      <c r="W39" s="89" t="n"/>
      <c r="X39" s="127">
        <f>COUNTIF(#REF!,$R$46)+COUNTIF(#REF!,$S$46)+COUNTIF(#REF!,$M$46)+COUNTIF(#REF!,$N$46)+COUNTIF(#REF!,$O$46)+COUNTIF(#REF!,$P$46)+COUNTIF(#REF!,$Q$46)</f>
        <v/>
      </c>
    </row>
    <row r="40" ht="27.75" customHeight="1">
      <c r="A40" s="263" t="inlineStr">
        <is>
          <t>MARKETING</t>
        </is>
      </c>
      <c r="C40" s="124" t="n"/>
      <c r="D40" s="96" t="n"/>
      <c r="E40" s="96" t="n"/>
      <c r="F40" s="96" t="n"/>
      <c r="G40" s="97" t="n"/>
      <c r="H40" s="98" t="n"/>
      <c r="I40" s="129" t="n"/>
      <c r="J40" s="129" t="n"/>
      <c r="K40" s="68" t="n"/>
      <c r="L40" s="119" t="n"/>
      <c r="M40" s="119" t="n"/>
      <c r="N40" s="119" t="n"/>
      <c r="O40" s="119" t="n"/>
      <c r="P40" s="119" t="n"/>
      <c r="Q40" s="119" t="n"/>
      <c r="R40" s="119" t="n"/>
      <c r="S40" s="119" t="n"/>
      <c r="T40" s="119" t="n"/>
      <c r="U40" s="119" t="n"/>
      <c r="V40" s="119" t="n"/>
      <c r="W40" s="89" t="n"/>
      <c r="X40" s="127" t="n"/>
    </row>
    <row r="41" ht="27.75" customHeight="1">
      <c r="A41" s="186" t="n"/>
      <c r="C41" s="124" t="n"/>
      <c r="D41" s="96" t="n"/>
      <c r="E41" s="96" t="n"/>
      <c r="F41" s="96" t="n"/>
      <c r="G41" s="97" t="n"/>
      <c r="H41" s="98" t="n"/>
      <c r="I41" s="129" t="n"/>
      <c r="J41" s="129" t="n"/>
      <c r="K41" s="119" t="n"/>
      <c r="L41" s="119" t="n"/>
      <c r="M41" s="119" t="n"/>
      <c r="N41" s="119" t="n"/>
      <c r="O41" s="119" t="n"/>
      <c r="P41" s="119" t="n"/>
      <c r="Q41" s="119" t="n"/>
      <c r="R41" s="119" t="n"/>
      <c r="S41" s="119" t="n"/>
      <c r="T41" s="119" t="n"/>
      <c r="U41" s="119" t="n"/>
      <c r="V41" s="119" t="n"/>
      <c r="W41" s="89" t="n"/>
      <c r="X41" s="131" t="n"/>
    </row>
    <row r="42" ht="27.75" customHeight="1">
      <c r="A42" s="186" t="n"/>
      <c r="C42" s="124" t="n"/>
      <c r="D42" s="96" t="n"/>
      <c r="E42" s="96" t="n"/>
      <c r="F42" s="96" t="n"/>
      <c r="G42" s="97" t="n"/>
      <c r="H42" s="132" t="n"/>
      <c r="I42" s="136" t="n"/>
      <c r="J42" s="136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  <c r="T42" s="141" t="n"/>
      <c r="U42" s="141" t="n"/>
      <c r="V42" s="141" t="n"/>
      <c r="W42" s="89" t="n"/>
      <c r="X42" s="134" t="n"/>
    </row>
    <row r="43" ht="27.75" customHeight="1">
      <c r="A43" s="263" t="inlineStr">
        <is>
          <t>OTHER</t>
        </is>
      </c>
      <c r="C43" s="124" t="n"/>
      <c r="D43" s="96" t="n"/>
      <c r="E43" s="96" t="n"/>
      <c r="F43" s="96" t="n"/>
      <c r="G43" s="97" t="n"/>
      <c r="H43" s="135" t="n"/>
      <c r="I43" s="137" t="n"/>
      <c r="J43" s="137" t="n"/>
      <c r="K43" s="148" t="n"/>
      <c r="L43" s="148" t="n"/>
      <c r="M43" s="148" t="n"/>
      <c r="N43" s="148" t="n"/>
      <c r="O43" s="148" t="n"/>
      <c r="P43" s="148" t="n"/>
      <c r="Q43" s="148" t="n"/>
      <c r="R43" s="148" t="n"/>
      <c r="S43" s="148" t="n"/>
      <c r="T43" s="148" t="n"/>
      <c r="U43" s="148" t="n"/>
      <c r="V43" s="148" t="n"/>
      <c r="W43" s="144" t="n"/>
      <c r="X43" s="134" t="n"/>
    </row>
    <row r="44" ht="27.75" customHeight="1">
      <c r="A44" s="186" t="n"/>
      <c r="C44" s="124" t="n"/>
      <c r="D44" s="96" t="n"/>
      <c r="E44" s="96" t="n"/>
      <c r="F44" s="96" t="n"/>
      <c r="G44" s="97" t="n"/>
      <c r="H44" s="135" t="n"/>
      <c r="I44" s="137" t="n"/>
      <c r="J44" s="137" t="n"/>
      <c r="K44" s="148" t="n"/>
      <c r="L44" s="148" t="n"/>
      <c r="M44" s="148" t="n"/>
      <c r="N44" s="148" t="n"/>
      <c r="O44" s="148" t="n"/>
      <c r="P44" s="148" t="n"/>
      <c r="Q44" s="148" t="n"/>
      <c r="R44" s="148" t="n"/>
      <c r="S44" s="148" t="n"/>
      <c r="T44" s="148" t="n"/>
      <c r="U44" s="148" t="n"/>
      <c r="V44" s="148" t="n"/>
      <c r="W44" s="151" t="n"/>
      <c r="X44" s="134" t="n"/>
    </row>
    <row r="45" ht="27.75" customHeight="1">
      <c r="A45" s="264" t="n"/>
      <c r="B45" s="375" t="n"/>
      <c r="C45" s="124" t="n"/>
      <c r="D45" s="96" t="n"/>
      <c r="E45" s="96" t="n"/>
      <c r="F45" s="96" t="n"/>
      <c r="G45" s="97" t="n"/>
      <c r="H45" s="135" t="n"/>
      <c r="I45" s="137" t="n"/>
      <c r="J45" s="137" t="n"/>
      <c r="K45" s="148" t="n"/>
      <c r="L45" s="148" t="n"/>
      <c r="M45" s="148" t="n"/>
      <c r="N45" s="148" t="n"/>
      <c r="O45" s="148" t="n"/>
      <c r="P45" s="148" t="n"/>
      <c r="Q45" s="148" t="n"/>
      <c r="R45" s="148" t="n"/>
      <c r="S45" s="148" t="n"/>
      <c r="T45" s="148" t="n"/>
      <c r="U45" s="148" t="n"/>
      <c r="V45" s="148" t="n"/>
      <c r="W45" s="151" t="n"/>
      <c r="X45" s="134" t="n"/>
    </row>
    <row r="46" ht="26.25" customHeight="1">
      <c r="A46" s="145" t="n"/>
      <c r="B46" s="146" t="n"/>
      <c r="C46" s="124" t="n"/>
      <c r="D46" s="147" t="n"/>
      <c r="E46" s="147" t="n"/>
      <c r="F46" s="147" t="n"/>
      <c r="G46" s="147" t="n"/>
      <c r="H46" s="159" t="n"/>
      <c r="I46" s="135" t="inlineStr">
        <is>
          <t>SELECT</t>
        </is>
      </c>
      <c r="J46" s="137" t="n"/>
      <c r="K46" s="275" t="inlineStr">
        <is>
          <t>BREAK</t>
        </is>
      </c>
      <c r="L46" s="192" t="inlineStr">
        <is>
          <t>CEL</t>
        </is>
      </c>
      <c r="M46" s="153" t="inlineStr">
        <is>
          <t>MENS</t>
        </is>
      </c>
      <c r="N46" s="153" t="inlineStr">
        <is>
          <t>WOMENS</t>
        </is>
      </c>
      <c r="O46" s="153" t="inlineStr">
        <is>
          <t>FLEX</t>
        </is>
      </c>
      <c r="P46" s="153" t="inlineStr">
        <is>
          <t>STYLIST</t>
        </is>
      </c>
      <c r="Q46" s="193" t="inlineStr">
        <is>
          <t>CASH</t>
        </is>
      </c>
      <c r="R46" s="193" t="inlineStr">
        <is>
          <t>FITS</t>
        </is>
      </c>
      <c r="S46" s="193" t="inlineStr">
        <is>
          <t>GREET</t>
        </is>
      </c>
      <c r="T46" s="194" t="inlineStr">
        <is>
          <t>OFFICE</t>
        </is>
      </c>
      <c r="U46" s="194" t="inlineStr">
        <is>
          <t>TASK</t>
        </is>
      </c>
      <c r="V46" s="194" t="inlineStr">
        <is>
          <t>SHIPMENT</t>
        </is>
      </c>
      <c r="W46" s="151" t="n"/>
      <c r="X46" s="134" t="n"/>
    </row>
    <row r="47" ht="26.25" customHeight="1">
      <c r="A47" s="145" t="n"/>
      <c r="B47" s="146" t="n"/>
      <c r="C47" s="124" t="n"/>
      <c r="D47" s="147" t="n"/>
      <c r="E47" s="147" t="n"/>
      <c r="F47" s="147" t="n"/>
      <c r="G47" s="147" t="n"/>
      <c r="H47" s="159" t="n"/>
      <c r="I47" s="64" t="n"/>
      <c r="J47" s="64" t="n"/>
      <c r="K47" s="68" t="n"/>
      <c r="L47" s="68" t="n"/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  <c r="W47" s="2" t="n"/>
      <c r="X47" s="134" t="n"/>
    </row>
    <row r="48" ht="26.25" customHeight="1">
      <c r="A48" s="145" t="n"/>
      <c r="B48" s="146" t="n"/>
      <c r="C48" s="124" t="n"/>
      <c r="D48" s="147" t="n"/>
      <c r="E48" s="147" t="n"/>
      <c r="F48" s="147" t="n"/>
      <c r="G48" s="147" t="n"/>
      <c r="H48" s="159" t="n"/>
      <c r="I48" s="64" t="n"/>
      <c r="J48" s="64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  <c r="W48" s="2" t="n"/>
      <c r="X48" s="134" t="n"/>
    </row>
    <row r="49" hidden="1" ht="17.25" customHeight="1">
      <c r="A49" s="159" t="n"/>
      <c r="B49" s="2" t="n"/>
      <c r="C49" s="124" t="n"/>
      <c r="D49" s="159" t="n"/>
      <c r="E49" s="159" t="n"/>
      <c r="F49" s="159" t="n"/>
      <c r="G49" s="159" t="n"/>
      <c r="H49" s="159" t="n"/>
      <c r="I49" s="64" t="n"/>
      <c r="J49" s="64" t="n"/>
      <c r="K49" s="68" t="n"/>
      <c r="L49" s="68" t="n"/>
      <c r="M49" s="68" t="n"/>
      <c r="N49" s="68" t="n"/>
      <c r="O49" s="68" t="n"/>
      <c r="P49" s="68" t="n"/>
      <c r="Q49" s="68" t="n"/>
      <c r="R49" s="68" t="n"/>
      <c r="S49" s="68" t="n"/>
      <c r="T49" s="68" t="n"/>
      <c r="U49" s="68" t="n"/>
      <c r="V49" s="68" t="n"/>
      <c r="W49" s="2" t="n"/>
      <c r="X49" s="158">
        <f>COUNTIF(#REF!,$R$46)+COUNTIF(#REF!,$S$46)+COUNTIF(#REF!,$M$46)+COUNTIF(#REF!,$N$46)+COUNTIF(#REF!,$O$46)+COUNTIF(#REF!,$P$46)+COUNTIF(#REF!,$Q$46)</f>
        <v/>
      </c>
    </row>
  </sheetData>
  <mergeCells count="43">
    <mergeCell ref="A24:B24"/>
    <mergeCell ref="A30:B30"/>
    <mergeCell ref="H10:I10"/>
    <mergeCell ref="A45:B45"/>
    <mergeCell ref="A36:B36"/>
    <mergeCell ref="H4:I4"/>
    <mergeCell ref="H9:I9"/>
    <mergeCell ref="H6:I6"/>
    <mergeCell ref="A25:B25"/>
    <mergeCell ref="A41:B41"/>
    <mergeCell ref="A37:B37"/>
    <mergeCell ref="E8:E19"/>
    <mergeCell ref="G8:G19"/>
    <mergeCell ref="A27:B27"/>
    <mergeCell ref="D6:D19"/>
    <mergeCell ref="H1:W1"/>
    <mergeCell ref="H11:I11"/>
    <mergeCell ref="A2:B2"/>
    <mergeCell ref="H7:I7"/>
    <mergeCell ref="A33:B33"/>
    <mergeCell ref="A42:B42"/>
    <mergeCell ref="A32:B32"/>
    <mergeCell ref="A14:B14"/>
    <mergeCell ref="A23:B23"/>
    <mergeCell ref="H13:I13"/>
    <mergeCell ref="H3:I3"/>
    <mergeCell ref="A35:B35"/>
    <mergeCell ref="H12:I12"/>
    <mergeCell ref="A38:B38"/>
    <mergeCell ref="H8:I8"/>
    <mergeCell ref="A29:B29"/>
    <mergeCell ref="F8:F19"/>
    <mergeCell ref="A43:B43"/>
    <mergeCell ref="A28:B28"/>
    <mergeCell ref="H5:I5"/>
    <mergeCell ref="A44:B44"/>
    <mergeCell ref="H14:I14"/>
    <mergeCell ref="H2:W2"/>
    <mergeCell ref="A31:B31"/>
    <mergeCell ref="H16:W16"/>
    <mergeCell ref="A39:B39"/>
    <mergeCell ref="A34:B34"/>
    <mergeCell ref="A40:B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X66"/>
  <sheetViews>
    <sheetView workbookViewId="0">
      <selection activeCell="A1" sqref="A1"/>
    </sheetView>
  </sheetViews>
  <sheetFormatPr baseColWidth="8" defaultRowHeight="15"/>
  <cols>
    <col width="40.86214285714286" bestFit="1" customWidth="1" style="159" min="1" max="1"/>
    <col width="34.57642857142857" bestFit="1" customWidth="1" style="160" min="2" max="2"/>
    <col width="1.576428571428571" bestFit="1" customWidth="1" style="161" min="3" max="3"/>
    <col width="5.147857142857143" bestFit="1" customWidth="1" style="159" min="4" max="4"/>
    <col width="5.147857142857143" bestFit="1" customWidth="1" style="159" min="5" max="5"/>
    <col width="5.147857142857143" bestFit="1" customWidth="1" style="159" min="6" max="6"/>
    <col width="5.147857142857143" bestFit="1" customWidth="1" style="159" min="7" max="7"/>
    <col width="29.005" bestFit="1" customWidth="1" style="159" min="8" max="8"/>
    <col width="21.005" bestFit="1" customWidth="1" style="162" min="9" max="9"/>
    <col width="14.57642857142857" bestFit="1" customWidth="1" style="162" min="10" max="10"/>
    <col width="15.57642857142857" bestFit="1" customWidth="1" style="166" min="11" max="11"/>
    <col width="15.57642857142857" bestFit="1" customWidth="1" style="160" min="12" max="12"/>
    <col width="15.57642857142857" bestFit="1" customWidth="1" style="160" min="13" max="13"/>
    <col width="15.57642857142857" bestFit="1" customWidth="1" style="160" min="14" max="14"/>
    <col width="15.57642857142857" bestFit="1" customWidth="1" style="160" min="15" max="15"/>
    <col width="15.57642857142857" bestFit="1" customWidth="1" style="160" min="16" max="16"/>
    <col width="15.57642857142857" bestFit="1" customWidth="1" style="160" min="17" max="17"/>
    <col width="15.57642857142857" bestFit="1" customWidth="1" style="160" min="18" max="18"/>
    <col width="15.57642857142857" bestFit="1" customWidth="1" style="160" min="19" max="19"/>
    <col width="15.57642857142857" bestFit="1" customWidth="1" style="160" min="20" max="20"/>
    <col width="15.57642857142857" bestFit="1" customWidth="1" style="160" min="21" max="21"/>
    <col width="15.57642857142857" bestFit="1" customWidth="1" style="160" min="22" max="22"/>
    <col width="34.86214285714286" bestFit="1" customWidth="1" style="166" min="23" max="23"/>
    <col hidden="1" width="12.43357142857143" bestFit="1" customWidth="1" style="167" min="24" max="24"/>
  </cols>
  <sheetData>
    <row r="1" ht="88.5" customHeight="1">
      <c r="A1" s="159" t="n"/>
      <c r="B1" s="2" t="n"/>
      <c r="C1" s="3" t="n"/>
      <c r="D1" s="159" t="n"/>
      <c r="E1" s="159" t="n"/>
      <c r="F1" s="159" t="n"/>
      <c r="G1" s="159" t="n"/>
      <c r="H1" s="5" t="n"/>
      <c r="X1" s="11" t="n"/>
    </row>
    <row r="2" ht="27.75" customHeight="1">
      <c r="A2" s="12" t="inlineStr">
        <is>
          <t>T O D A Y ' S   G O A L S</t>
        </is>
      </c>
      <c r="B2" s="370" t="n"/>
      <c r="C2" s="3" t="n"/>
      <c r="D2" s="159" t="n"/>
      <c r="E2" s="159" t="n"/>
      <c r="F2" s="159" t="n"/>
      <c r="G2" s="159" t="n"/>
      <c r="H2" s="14" t="inlineStr">
        <is>
          <t>H O U R L Y   S E G M E N T S</t>
        </is>
      </c>
      <c r="I2" s="361" t="n"/>
      <c r="J2" s="361" t="n"/>
      <c r="K2" s="361" t="n"/>
      <c r="L2" s="361" t="n"/>
      <c r="M2" s="361" t="n"/>
      <c r="N2" s="361" t="n"/>
      <c r="O2" s="361" t="n"/>
      <c r="P2" s="361" t="n"/>
      <c r="Q2" s="361" t="n"/>
      <c r="R2" s="361" t="n"/>
      <c r="S2" s="361" t="n"/>
      <c r="T2" s="361" t="n"/>
      <c r="U2" s="361" t="n"/>
      <c r="V2" s="361" t="n"/>
      <c r="W2" s="362" t="n"/>
      <c r="X2" s="19" t="n"/>
    </row>
    <row r="3" ht="27.75" customHeight="1">
      <c r="A3" s="20" t="inlineStr">
        <is>
          <t>DATE</t>
        </is>
      </c>
      <c r="B3" s="21" t="inlineStr">
        <is>
          <t>05.28.2025</t>
        </is>
      </c>
      <c r="C3" s="3" t="n"/>
      <c r="D3" s="159" t="n"/>
      <c r="E3" s="159" t="n"/>
      <c r="F3" s="159" t="n"/>
      <c r="G3" s="159" t="n"/>
      <c r="H3" s="23" t="inlineStr">
        <is>
          <t>HOURS OF OPERATIONS</t>
        </is>
      </c>
      <c r="I3" s="362" t="n"/>
      <c r="J3" s="249" t="n"/>
      <c r="K3" s="26" t="inlineStr">
        <is>
          <t>9am - 10am</t>
        </is>
      </c>
      <c r="L3" s="25" t="inlineStr">
        <is>
          <t>10am - 11am</t>
        </is>
      </c>
      <c r="M3" s="25" t="inlineStr">
        <is>
          <t>11am - 12pm</t>
        </is>
      </c>
      <c r="N3" s="25" t="inlineStr">
        <is>
          <t>12pm - 1pm</t>
        </is>
      </c>
      <c r="O3" s="25" t="inlineStr">
        <is>
          <t>1pm - 2pm</t>
        </is>
      </c>
      <c r="P3" s="25" t="inlineStr">
        <is>
          <t>2pm - 3pm</t>
        </is>
      </c>
      <c r="Q3" s="25" t="inlineStr">
        <is>
          <t>3pm - 4pm</t>
        </is>
      </c>
      <c r="R3" s="25" t="inlineStr">
        <is>
          <t>4pm - 5pm</t>
        </is>
      </c>
      <c r="S3" s="25" t="inlineStr">
        <is>
          <t>5pm - 6pm</t>
        </is>
      </c>
      <c r="T3" s="25" t="inlineStr">
        <is>
          <t>6pm - 7pm</t>
        </is>
      </c>
      <c r="U3" s="25" t="inlineStr">
        <is>
          <t>7pm - 8pm</t>
        </is>
      </c>
      <c r="V3" s="25" t="inlineStr">
        <is>
          <t>8pm - 9pm</t>
        </is>
      </c>
      <c r="W3" s="27">
        <f>SUM(L4:V4)</f>
        <v/>
      </c>
      <c r="X3" s="19" t="n"/>
    </row>
    <row r="4" ht="27.75" customHeight="1">
      <c r="A4" s="30" t="inlineStr">
        <is>
          <t>DAY SALES TARGET</t>
        </is>
      </c>
      <c r="B4" s="31" t="n">
        <v>9738</v>
      </c>
      <c r="C4" s="32" t="n"/>
      <c r="D4" s="33" t="n"/>
      <c r="E4" s="33" t="n"/>
      <c r="F4" s="33" t="n"/>
      <c r="G4" s="33" t="n"/>
      <c r="H4" s="34" t="inlineStr">
        <is>
          <t>HOURLY SALES CONTRIBUTION %</t>
        </is>
      </c>
      <c r="I4" s="368" t="n"/>
      <c r="J4" s="250" t="n"/>
      <c r="K4" s="36" t="n"/>
      <c r="L4" s="36" t="n">
        <v>0.01</v>
      </c>
      <c r="M4" s="36" t="n">
        <v>0.05</v>
      </c>
      <c r="N4" s="36" t="n">
        <v>0.08</v>
      </c>
      <c r="O4" s="36" t="n">
        <v>0.12</v>
      </c>
      <c r="P4" s="36" t="n">
        <v>0.12</v>
      </c>
      <c r="Q4" s="36" t="n">
        <v>0.15</v>
      </c>
      <c r="R4" s="36" t="n">
        <v>0.15</v>
      </c>
      <c r="S4" s="36" t="n">
        <v>0.12</v>
      </c>
      <c r="T4" s="36" t="n">
        <v>0.09</v>
      </c>
      <c r="U4" s="36" t="n">
        <v>0.07000000000000001</v>
      </c>
      <c r="V4" s="36" t="n">
        <v>0.04</v>
      </c>
      <c r="W4" s="37" t="inlineStr">
        <is>
          <t>NOTES &amp; OBSERVATIONS
Complete throughout the day</t>
        </is>
      </c>
      <c r="X4" s="28" t="n"/>
    </row>
    <row r="5" ht="27.75" customHeight="1">
      <c r="A5" s="30" t="inlineStr">
        <is>
          <t>STRETCH TARGET</t>
        </is>
      </c>
      <c r="B5" s="31" t="n">
        <v>10000</v>
      </c>
      <c r="C5" s="3" t="n"/>
      <c r="D5" s="33" t="n"/>
      <c r="E5" s="33" t="n"/>
      <c r="F5" s="33" t="n"/>
      <c r="G5" s="33" t="n"/>
      <c r="H5" s="34" t="inlineStr">
        <is>
          <t>CUMULATIVE SALES TARGET</t>
        </is>
      </c>
      <c r="I5" s="368" t="n"/>
      <c r="J5" s="251" t="n"/>
      <c r="K5" s="38">
        <f>K4*B4</f>
        <v/>
      </c>
      <c r="L5" s="38">
        <f>SUM(K$4:L$4)*$B$4</f>
        <v/>
      </c>
      <c r="M5" s="38">
        <f>SUM(K4:M4)*$B$4</f>
        <v/>
      </c>
      <c r="N5" s="38">
        <f>SUM(K4:N4)*$B$4</f>
        <v/>
      </c>
      <c r="O5" s="38">
        <f>SUM(K4:O4)*$B$4</f>
        <v/>
      </c>
      <c r="P5" s="38">
        <f>SUM(K4:P4)*$B$4</f>
        <v/>
      </c>
      <c r="Q5" s="38">
        <f>SUM(K4:Q4)*$B$4</f>
        <v/>
      </c>
      <c r="R5" s="38">
        <f>SUM(K4:R4)*$B$4</f>
        <v/>
      </c>
      <c r="S5" s="38">
        <f>SUM(K4:S4)*$B$4</f>
        <v/>
      </c>
      <c r="T5" s="38">
        <f>SUM(K4:T4)*$B$4</f>
        <v/>
      </c>
      <c r="U5" s="38">
        <f>SUM(K4:U4)*$B$4</f>
        <v/>
      </c>
      <c r="V5" s="38">
        <f>SUM(K4:V4)*$B$4</f>
        <v/>
      </c>
      <c r="W5" s="39" t="n"/>
      <c r="X5" s="28" t="n"/>
    </row>
    <row r="6" ht="27.75" customHeight="1">
      <c r="A6" s="30" t="inlineStr">
        <is>
          <t>LAST YEAR SALES</t>
        </is>
      </c>
      <c r="B6" s="31" t="n">
        <v>8000</v>
      </c>
      <c r="C6" s="40">
        <f>B5/B4</f>
        <v/>
      </c>
      <c r="D6" s="43" t="inlineStr">
        <is>
          <t>LEARNING LAB: BEHAVIOURS &amp; OBSERVATIONS</t>
        </is>
      </c>
      <c r="E6" s="41" t="n"/>
      <c r="F6" s="41" t="n"/>
      <c r="G6" s="41" t="n"/>
      <c r="H6" s="34" t="inlineStr">
        <is>
          <t>CUMULATIVE STRETCH TARGET</t>
        </is>
      </c>
      <c r="I6" s="368" t="n"/>
      <c r="J6" s="251" t="n"/>
      <c r="K6" s="38">
        <f>K4*B5</f>
        <v/>
      </c>
      <c r="L6" s="38">
        <f>SUM(K4:L4)*$B$5</f>
        <v/>
      </c>
      <c r="M6" s="38">
        <f>SUM(K4:M4)*$B$5</f>
        <v/>
      </c>
      <c r="N6" s="38">
        <f>SUM(K4:N4)*$B$5</f>
        <v/>
      </c>
      <c r="O6" s="38">
        <f>SUM(K4:O4)*$B$5</f>
        <v/>
      </c>
      <c r="P6" s="38">
        <f>SUM(K4:P4)*$B$5</f>
        <v/>
      </c>
      <c r="Q6" s="38">
        <f>SUM(K4:Q4)*$B$5</f>
        <v/>
      </c>
      <c r="R6" s="38">
        <f>SUM(K4:R4)*$B$5</f>
        <v/>
      </c>
      <c r="S6" s="38">
        <f>SUM(K4:S4)*$B$5</f>
        <v/>
      </c>
      <c r="T6" s="38">
        <f>SUM(K4:T4)*$B$5</f>
        <v/>
      </c>
      <c r="U6" s="38">
        <f>SUM(K4:U4)*$B$5</f>
        <v/>
      </c>
      <c r="V6" s="38">
        <f>SUM(K4:V4)*$B$5</f>
        <v/>
      </c>
      <c r="W6" s="39" t="n"/>
      <c r="X6" s="28" t="n"/>
    </row>
    <row r="7" ht="27.75" customHeight="1">
      <c r="A7" s="30" t="inlineStr">
        <is>
          <t>LAST YEAR TRAFFIC</t>
        </is>
      </c>
      <c r="B7" s="42" t="n">
        <v>360</v>
      </c>
      <c r="C7" s="3" t="n"/>
      <c r="E7" s="33" t="n"/>
      <c r="F7" s="33" t="n"/>
      <c r="G7" s="33" t="n"/>
      <c r="H7" s="44" t="inlineStr">
        <is>
          <t>CUMULATIVE SALES ACTUAL</t>
        </is>
      </c>
      <c r="I7" s="368" t="n"/>
      <c r="J7" s="252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171" t="n"/>
      <c r="W7" s="39" t="n"/>
      <c r="X7" s="28" t="n"/>
    </row>
    <row r="8" ht="27.75" customHeight="1">
      <c r="A8" s="30" t="inlineStr">
        <is>
          <t>CURRENT TRAFFIC TREND (+/-)</t>
        </is>
      </c>
      <c r="B8" s="46" t="n">
        <v>0.01</v>
      </c>
      <c r="C8" s="3" t="n"/>
      <c r="E8" s="43" t="inlineStr">
        <is>
          <t>1ST BREAK TAKEN</t>
        </is>
      </c>
      <c r="F8" s="43" t="inlineStr">
        <is>
          <t>2ND BREAK TAKEN (IF APPLICABLE)</t>
        </is>
      </c>
      <c r="G8" s="43" t="inlineStr">
        <is>
          <t>OTHER: __________________________________</t>
        </is>
      </c>
      <c r="H8" s="44" t="inlineStr">
        <is>
          <t>TRAFFIC</t>
        </is>
      </c>
      <c r="I8" s="368" t="n"/>
      <c r="J8" s="252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172" t="n"/>
      <c r="W8" s="39" t="n"/>
      <c r="X8" s="28" t="n"/>
    </row>
    <row r="9" ht="27.75" customHeight="1">
      <c r="A9" s="30" t="inlineStr">
        <is>
          <t>PROJECTED TRAFFIC</t>
        </is>
      </c>
      <c r="B9" s="48" t="n">
        <v>500</v>
      </c>
      <c r="C9" s="3" t="n"/>
      <c r="H9" s="44" t="inlineStr">
        <is>
          <t>TRANSACTIONS</t>
        </is>
      </c>
      <c r="I9" s="368" t="n"/>
      <c r="J9" s="253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172" t="n"/>
      <c r="W9" s="39" t="n"/>
      <c r="X9" s="28" t="n"/>
    </row>
    <row r="10" ht="27.75" customHeight="1">
      <c r="A10" s="30" t="inlineStr">
        <is>
          <t>TRANSACTION GOAL</t>
        </is>
      </c>
      <c r="B10" s="48" t="n"/>
      <c r="C10" s="3" t="n"/>
      <c r="H10" s="44" t="inlineStr">
        <is>
          <t>CONVERSION</t>
        </is>
      </c>
      <c r="I10" s="368" t="n"/>
      <c r="J10" s="252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173" t="n"/>
      <c r="W10" s="39" t="n"/>
      <c r="X10" s="28" t="n"/>
    </row>
    <row r="11" ht="27.75" customHeight="1">
      <c r="A11" s="30" t="inlineStr">
        <is>
          <t>CONVERSION TARGET</t>
        </is>
      </c>
      <c r="B11" s="46" t="n">
        <v>0.2</v>
      </c>
      <c r="C11" s="29" t="n"/>
      <c r="H11" s="44" t="inlineStr">
        <is>
          <t>UPT</t>
        </is>
      </c>
      <c r="I11" s="368" t="n"/>
      <c r="J11" s="252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174" t="n"/>
      <c r="W11" s="51" t="n"/>
      <c r="X11" s="28" t="n"/>
    </row>
    <row r="12" ht="27.75" customHeight="1">
      <c r="A12" s="30" t="inlineStr">
        <is>
          <t>UPT</t>
        </is>
      </c>
      <c r="B12" s="52" t="n">
        <v>2.3</v>
      </c>
      <c r="C12" s="29" t="n"/>
      <c r="H12" s="44" t="inlineStr">
        <is>
          <t>ATV</t>
        </is>
      </c>
      <c r="I12" s="368" t="n"/>
      <c r="J12" s="252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171" t="n"/>
      <c r="W12" s="51" t="n"/>
      <c r="X12" s="28" t="n"/>
    </row>
    <row r="13" ht="27.75" customHeight="1">
      <c r="A13" s="53" t="inlineStr">
        <is>
          <t>ATV</t>
        </is>
      </c>
      <c r="B13" s="54" t="n">
        <v>90</v>
      </c>
      <c r="C13" s="3" t="n"/>
      <c r="H13" s="44" t="inlineStr">
        <is>
          <t>OTHER: _________________</t>
        </is>
      </c>
      <c r="I13" s="368" t="n"/>
      <c r="J13" s="254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171" t="n"/>
      <c r="W13" s="51" t="n"/>
      <c r="X13" s="56" t="n"/>
    </row>
    <row r="14" ht="27.75" customHeight="1">
      <c r="A14" s="57" t="inlineStr">
        <is>
          <t>M O N T H   T O   D A T E   P E R F O R M A N C E</t>
        </is>
      </c>
      <c r="B14" s="371" t="n"/>
      <c r="C14" s="3" t="n"/>
      <c r="H14" s="59" t="inlineStr">
        <is>
          <t>CEL SIGN-OFF (INITIALS)</t>
        </is>
      </c>
      <c r="I14" s="372" t="n"/>
      <c r="J14" s="255" t="n"/>
      <c r="K14" s="61" t="n"/>
      <c r="L14" s="61" t="n"/>
      <c r="M14" s="61" t="n"/>
      <c r="N14" s="61" t="n"/>
      <c r="O14" s="61" t="n"/>
      <c r="P14" s="61" t="n"/>
      <c r="Q14" s="61" t="n"/>
      <c r="R14" s="61" t="n"/>
      <c r="S14" s="61" t="n"/>
      <c r="T14" s="61" t="n"/>
      <c r="U14" s="61" t="n"/>
      <c r="V14" s="61" t="n"/>
      <c r="W14" s="62" t="n"/>
      <c r="X14" s="56" t="n"/>
    </row>
    <row r="15" ht="27.75" customHeight="1">
      <c r="A15" s="20" t="inlineStr">
        <is>
          <t>MONTH SALES PLAN</t>
        </is>
      </c>
      <c r="B15" s="63" t="n">
        <v>453745</v>
      </c>
      <c r="C15" s="3" t="n"/>
      <c r="H15" s="159" t="n"/>
      <c r="I15" s="64" t="n"/>
      <c r="J15" s="64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  <c r="W15" s="2" t="n"/>
      <c r="X15" s="56" t="n"/>
    </row>
    <row r="16" ht="27.75" customHeight="1">
      <c r="A16" s="30" t="inlineStr">
        <is>
          <t>MONTH TO DATE SALES</t>
        </is>
      </c>
      <c r="B16" s="266" t="n"/>
      <c r="C16" s="3" t="n"/>
      <c r="H16" s="69" t="inlineStr">
        <is>
          <t>Z O N E   C H A R T</t>
        </is>
      </c>
      <c r="I16" s="373" t="n"/>
      <c r="J16" s="373" t="n"/>
      <c r="K16" s="373" t="n"/>
      <c r="L16" s="373" t="n"/>
      <c r="M16" s="373" t="n"/>
      <c r="N16" s="373" t="n"/>
      <c r="O16" s="373" t="n"/>
      <c r="P16" s="373" t="n"/>
      <c r="Q16" s="373" t="n"/>
      <c r="R16" s="373" t="n"/>
      <c r="S16" s="373" t="n"/>
      <c r="T16" s="373" t="n"/>
      <c r="U16" s="373" t="n"/>
      <c r="V16" s="373" t="n"/>
      <c r="W16" s="371" t="n"/>
      <c r="X16" s="56" t="n"/>
    </row>
    <row r="17" ht="27.75" customHeight="1">
      <c r="A17" s="30" t="inlineStr">
        <is>
          <t>% TO MONTH SALES PLAN</t>
        </is>
      </c>
      <c r="B17" s="205" t="n"/>
      <c r="C17" s="3" t="n"/>
      <c r="H17" s="177" t="inlineStr">
        <is>
          <t>Name</t>
        </is>
      </c>
      <c r="I17" s="75" t="inlineStr">
        <is>
          <t>Shift</t>
        </is>
      </c>
      <c r="J17" s="75" t="inlineStr">
        <is>
          <t>8am-9am</t>
        </is>
      </c>
      <c r="K17" s="76">
        <f>K$3</f>
        <v/>
      </c>
      <c r="L17" s="76">
        <f>L$3</f>
        <v/>
      </c>
      <c r="M17" s="76">
        <f>M$3</f>
        <v/>
      </c>
      <c r="N17" s="76">
        <f>N$3</f>
        <v/>
      </c>
      <c r="O17" s="76">
        <f>O$3</f>
        <v/>
      </c>
      <c r="P17" s="76">
        <f>P$3</f>
        <v/>
      </c>
      <c r="Q17" s="76">
        <f>Q$3</f>
        <v/>
      </c>
      <c r="R17" s="76">
        <f>R$3</f>
        <v/>
      </c>
      <c r="S17" s="76">
        <f>S$3</f>
        <v/>
      </c>
      <c r="T17" s="76">
        <f>T$3</f>
        <v/>
      </c>
      <c r="U17" s="76">
        <f>U$3</f>
        <v/>
      </c>
      <c r="V17" s="76">
        <f>V$3</f>
        <v/>
      </c>
      <c r="W17" s="79" t="inlineStr">
        <is>
          <t>Sales Target</t>
        </is>
      </c>
      <c r="X17" s="56" t="n"/>
    </row>
    <row r="18" ht="27.75" customHeight="1">
      <c r="A18" s="30" t="inlineStr">
        <is>
          <t>MONTH TO GO</t>
        </is>
      </c>
      <c r="B18" s="80" t="n"/>
      <c r="C18" s="3" t="n"/>
      <c r="H18" s="98" t="inlineStr">
        <is>
          <t>DARCY</t>
        </is>
      </c>
      <c r="I18" s="99" t="inlineStr">
        <is>
          <t>8-430</t>
        </is>
      </c>
      <c r="J18" s="210" t="inlineStr">
        <is>
          <t>OFFICE</t>
        </is>
      </c>
      <c r="K18" s="55" t="inlineStr">
        <is>
          <t>TASK</t>
        </is>
      </c>
      <c r="L18" s="49" t="inlineStr">
        <is>
          <t>TASK</t>
        </is>
      </c>
      <c r="M18" s="86" t="inlineStr">
        <is>
          <t>TASK</t>
        </is>
      </c>
      <c r="N18" s="49" t="inlineStr">
        <is>
          <t>CEL</t>
        </is>
      </c>
      <c r="O18" s="86" t="inlineStr">
        <is>
          <t>CEL</t>
        </is>
      </c>
      <c r="P18" s="49" t="inlineStr">
        <is>
          <t>MENS</t>
        </is>
      </c>
      <c r="Q18" s="179" t="inlineStr">
        <is>
          <t>MENS</t>
        </is>
      </c>
      <c r="R18" s="45" t="n"/>
      <c r="S18" s="45" t="n"/>
      <c r="T18" s="45" t="n"/>
      <c r="U18" s="45" t="n"/>
      <c r="V18" s="45" t="n"/>
      <c r="W18" s="189" t="n"/>
      <c r="X18" s="56" t="n"/>
    </row>
    <row r="19" hidden="1" ht="17.25" customHeight="1">
      <c r="A19" s="94" t="n"/>
      <c r="B19" s="257">
        <f>B15+B18</f>
        <v/>
      </c>
      <c r="C19" s="3" t="n"/>
      <c r="D19" s="96" t="n"/>
      <c r="E19" s="96" t="n"/>
      <c r="F19" s="96" t="n"/>
      <c r="G19" s="97" t="n"/>
      <c r="H19" s="98" t="inlineStr">
        <is>
          <t>SIERRA</t>
        </is>
      </c>
      <c r="I19" s="99" t="inlineStr">
        <is>
          <t>2-7</t>
        </is>
      </c>
      <c r="J19" s="21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189" t="n"/>
      <c r="X19" s="56" t="n"/>
    </row>
    <row r="20" hidden="1" ht="17.25" customHeight="1">
      <c r="A20" s="100" t="n"/>
      <c r="B20" s="101" t="n">
        <v>1</v>
      </c>
      <c r="C20" s="3" t="n"/>
      <c r="D20" s="96" t="n"/>
      <c r="E20" s="96" t="n"/>
      <c r="F20" s="96" t="n"/>
      <c r="G20" s="97" t="n"/>
      <c r="H20" s="98" t="inlineStr">
        <is>
          <t>TARAN</t>
        </is>
      </c>
      <c r="I20" s="99" t="inlineStr">
        <is>
          <t>1-930</t>
        </is>
      </c>
      <c r="J20" s="21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189" t="n"/>
      <c r="X20" s="56" t="n"/>
    </row>
    <row r="21" ht="27.75" customHeight="1">
      <c r="A21" s="100" t="n"/>
      <c r="B21" s="103" t="n"/>
      <c r="C21" s="3" t="n"/>
      <c r="D21" s="96" t="n"/>
      <c r="E21" s="96" t="n"/>
      <c r="F21" s="96" t="n"/>
      <c r="G21" s="97" t="n"/>
      <c r="H21" s="98" t="inlineStr">
        <is>
          <t>SAIGE</t>
        </is>
      </c>
      <c r="I21" s="99" t="inlineStr">
        <is>
          <t>8-12:45</t>
        </is>
      </c>
      <c r="J21" s="210" t="inlineStr">
        <is>
          <t>TASK</t>
        </is>
      </c>
      <c r="K21" s="55" t="inlineStr">
        <is>
          <t>TASK</t>
        </is>
      </c>
      <c r="L21" s="110" t="n"/>
      <c r="M21" s="110" t="n"/>
      <c r="N21" s="110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189" t="n"/>
      <c r="X21" s="56" t="n"/>
    </row>
    <row r="22" ht="27.75" customHeight="1">
      <c r="A22" s="106" t="inlineStr">
        <is>
          <t>DENIM: 69.99 when you buy 2 or more</t>
        </is>
      </c>
      <c r="C22" s="3" t="n"/>
      <c r="D22" s="96" t="n"/>
      <c r="E22" s="96" t="n"/>
      <c r="F22" s="96" t="n"/>
      <c r="G22" s="97" t="n"/>
      <c r="H22" s="98" t="inlineStr">
        <is>
          <t>SIERRA</t>
        </is>
      </c>
      <c r="I22" s="99" t="inlineStr">
        <is>
          <t>10-630</t>
        </is>
      </c>
      <c r="J22" s="210" t="n"/>
      <c r="K22" s="45" t="n"/>
      <c r="L22" s="49" t="inlineStr">
        <is>
          <t>CEL</t>
        </is>
      </c>
      <c r="M22" s="267" t="n"/>
      <c r="N22" s="49" t="inlineStr">
        <is>
          <t>TASK</t>
        </is>
      </c>
      <c r="O22" s="268" t="n"/>
      <c r="P22" s="268" t="n"/>
      <c r="Q22" s="268" t="n"/>
      <c r="R22" s="49" t="inlineStr">
        <is>
          <t>CEL</t>
        </is>
      </c>
      <c r="S22" s="267" t="n"/>
      <c r="T22" s="45" t="n"/>
      <c r="U22" s="45" t="n"/>
      <c r="V22" s="45" t="n"/>
      <c r="W22" s="189" t="n"/>
      <c r="X22" s="56" t="n"/>
    </row>
    <row r="23" ht="27.75" customHeight="1">
      <c r="A23" s="106" t="inlineStr">
        <is>
          <t xml:space="preserve">TOPS, OUTERWEAR, SHORTS: BOGO 50% </t>
        </is>
      </c>
      <c r="C23" s="3" t="n"/>
      <c r="D23" s="96" t="n"/>
      <c r="E23" s="96" t="n"/>
      <c r="F23" s="96" t="n"/>
      <c r="G23" s="97" t="n"/>
      <c r="H23" s="98" t="inlineStr">
        <is>
          <t>NAAIJA</t>
        </is>
      </c>
      <c r="I23" s="99" t="inlineStr">
        <is>
          <t>1115-4</t>
        </is>
      </c>
      <c r="J23" s="210" t="n"/>
      <c r="K23" s="45" t="n"/>
      <c r="L23" s="45" t="n"/>
      <c r="M23" s="258" t="inlineStr">
        <is>
          <t>MENS</t>
        </is>
      </c>
      <c r="N23" s="104" t="n"/>
      <c r="O23" s="104" t="n"/>
      <c r="P23" s="104" t="n"/>
      <c r="Q23" s="104" t="n"/>
      <c r="R23" s="45" t="n"/>
      <c r="S23" s="45" t="n"/>
      <c r="T23" s="45" t="n"/>
      <c r="U23" s="45" t="n"/>
      <c r="V23" s="45" t="n"/>
      <c r="W23" s="189" t="n"/>
      <c r="X23" s="56" t="n"/>
    </row>
    <row r="24" ht="27.75" customHeight="1">
      <c r="A24" s="106" t="inlineStr">
        <is>
          <t>Clearance additional 40% off</t>
        </is>
      </c>
      <c r="C24" s="3" t="n"/>
      <c r="D24" s="96" t="n"/>
      <c r="E24" s="96" t="n"/>
      <c r="F24" s="96" t="n"/>
      <c r="G24" s="97" t="n"/>
      <c r="H24" s="98" t="inlineStr">
        <is>
          <t>AMITA</t>
        </is>
      </c>
      <c r="I24" s="99" t="inlineStr">
        <is>
          <t>1215-5</t>
        </is>
      </c>
      <c r="J24" s="210" t="n"/>
      <c r="K24" s="45" t="n"/>
      <c r="L24" s="45" t="n"/>
      <c r="M24" s="45" t="n"/>
      <c r="N24" s="269" t="inlineStr">
        <is>
          <t>FITS</t>
        </is>
      </c>
      <c r="O24" s="108" t="n"/>
      <c r="P24" s="108" t="n"/>
      <c r="Q24" s="108" t="n"/>
      <c r="R24" s="108" t="n"/>
      <c r="S24" s="45" t="n"/>
      <c r="T24" s="45" t="n"/>
      <c r="U24" s="45" t="n"/>
      <c r="V24" s="45" t="n"/>
      <c r="W24" s="189" t="n"/>
      <c r="X24" s="56" t="n"/>
    </row>
    <row r="25" ht="27.75" customHeight="1">
      <c r="A25" s="120" t="n"/>
      <c r="B25" s="118" t="n"/>
      <c r="C25" s="3" t="n"/>
      <c r="D25" s="96" t="n"/>
      <c r="E25" s="96" t="n"/>
      <c r="F25" s="96" t="n"/>
      <c r="G25" s="97" t="n"/>
      <c r="H25" s="98" t="inlineStr">
        <is>
          <t>AVERY</t>
        </is>
      </c>
      <c r="I25" s="99" t="inlineStr">
        <is>
          <t>1215-5</t>
        </is>
      </c>
      <c r="J25" s="210" t="n"/>
      <c r="K25" s="45" t="n"/>
      <c r="L25" s="45" t="n"/>
      <c r="M25" s="45" t="n"/>
      <c r="N25" s="269" t="inlineStr">
        <is>
          <t>WOMENS</t>
        </is>
      </c>
      <c r="O25" s="93" t="n"/>
      <c r="P25" s="93" t="n"/>
      <c r="Q25" s="93" t="n"/>
      <c r="R25" s="93" t="n"/>
      <c r="S25" s="45" t="n"/>
      <c r="T25" s="45" t="n"/>
      <c r="U25" s="45" t="n"/>
      <c r="V25" s="45" t="n"/>
      <c r="W25" s="89" t="n"/>
      <c r="X25" s="56" t="n"/>
    </row>
    <row r="26" ht="27.75" customHeight="1">
      <c r="A26" s="270" t="n"/>
      <c r="B26" s="118" t="n"/>
      <c r="C26" s="3" t="n"/>
      <c r="D26" s="96" t="n"/>
      <c r="E26" s="96" t="n"/>
      <c r="F26" s="96" t="n"/>
      <c r="G26" s="97" t="n"/>
      <c r="H26" s="98" t="inlineStr">
        <is>
          <t>HARNOOR</t>
        </is>
      </c>
      <c r="I26" s="99" t="inlineStr">
        <is>
          <t>1215-5</t>
        </is>
      </c>
      <c r="J26" s="210" t="n"/>
      <c r="K26" s="45" t="n"/>
      <c r="L26" s="45" t="n"/>
      <c r="M26" s="45" t="n"/>
      <c r="N26" s="269" t="inlineStr">
        <is>
          <t>WOMENS</t>
        </is>
      </c>
      <c r="O26" s="93" t="n"/>
      <c r="P26" s="93" t="n"/>
      <c r="Q26" s="93" t="n"/>
      <c r="R26" s="93" t="n"/>
      <c r="S26" s="45" t="n"/>
      <c r="T26" s="45" t="n"/>
      <c r="U26" s="45" t="n"/>
      <c r="V26" s="45" t="n"/>
      <c r="W26" s="89" t="n"/>
      <c r="X26" s="56" t="n"/>
    </row>
    <row r="27" ht="27.75" customHeight="1">
      <c r="A27" s="270" t="n"/>
      <c r="B27" s="118" t="n"/>
      <c r="C27" s="3" t="n"/>
      <c r="D27" s="96" t="n"/>
      <c r="E27" s="96" t="n"/>
      <c r="F27" s="96" t="n"/>
      <c r="G27" s="97" t="n"/>
      <c r="H27" s="98" t="inlineStr">
        <is>
          <t>KIRAN</t>
        </is>
      </c>
      <c r="I27" s="99" t="inlineStr">
        <is>
          <t>1215-5</t>
        </is>
      </c>
      <c r="J27" s="210" t="n"/>
      <c r="K27" s="45" t="n"/>
      <c r="L27" s="45" t="n"/>
      <c r="M27" s="45" t="n"/>
      <c r="N27" s="269" t="inlineStr">
        <is>
          <t>TASK</t>
        </is>
      </c>
      <c r="O27" s="268" t="n"/>
      <c r="P27" s="268" t="n"/>
      <c r="Q27" s="268" t="n"/>
      <c r="R27" s="268" t="n"/>
      <c r="S27" s="45" t="n"/>
      <c r="T27" s="45" t="n"/>
      <c r="U27" s="45" t="n"/>
      <c r="V27" s="45" t="n"/>
      <c r="W27" s="89" t="n"/>
      <c r="X27" s="56" t="n"/>
    </row>
    <row r="28" ht="27.75" customHeight="1">
      <c r="A28" s="271" t="n"/>
      <c r="B28" s="121" t="n"/>
      <c r="C28" s="3" t="n"/>
      <c r="D28" s="96" t="n"/>
      <c r="E28" s="96" t="n"/>
      <c r="F28" s="96" t="n"/>
      <c r="G28" s="97" t="n"/>
      <c r="H28" s="98" t="inlineStr">
        <is>
          <t>RICKY</t>
        </is>
      </c>
      <c r="I28" s="99" t="inlineStr">
        <is>
          <t>1-930</t>
        </is>
      </c>
      <c r="J28" s="215" t="n"/>
      <c r="K28" s="45" t="n"/>
      <c r="L28" s="45" t="n"/>
      <c r="M28" s="45" t="n"/>
      <c r="N28" s="45" t="n"/>
      <c r="O28" s="49" t="inlineStr">
        <is>
          <t>WOMENS</t>
        </is>
      </c>
      <c r="P28" s="49" t="inlineStr">
        <is>
          <t>CEL</t>
        </is>
      </c>
      <c r="Q28" s="267" t="n"/>
      <c r="R28" s="49" t="inlineStr">
        <is>
          <t>FLEX</t>
        </is>
      </c>
      <c r="S28" s="125" t="n"/>
      <c r="T28" s="49" t="inlineStr">
        <is>
          <t>CEL</t>
        </is>
      </c>
      <c r="U28" s="267" t="n"/>
      <c r="V28" s="267" t="n"/>
      <c r="W28" s="189" t="n"/>
      <c r="X28" s="127" t="n"/>
    </row>
    <row r="29" ht="27.75" customHeight="1">
      <c r="A29" s="271" t="n"/>
      <c r="B29" s="121" t="n"/>
      <c r="C29" s="3" t="n"/>
      <c r="D29" s="96" t="n"/>
      <c r="E29" s="96" t="n"/>
      <c r="F29" s="96" t="n"/>
      <c r="G29" s="97" t="n"/>
      <c r="H29" s="98" t="inlineStr">
        <is>
          <t>LELAND</t>
        </is>
      </c>
      <c r="I29" s="99" t="inlineStr">
        <is>
          <t>215-7</t>
        </is>
      </c>
      <c r="J29" s="215" t="n"/>
      <c r="K29" s="45" t="n"/>
      <c r="L29" s="45" t="n"/>
      <c r="M29" s="45" t="n"/>
      <c r="N29" s="45" t="n"/>
      <c r="O29" s="45" t="n"/>
      <c r="P29" s="49" t="inlineStr">
        <is>
          <t>CASH</t>
        </is>
      </c>
      <c r="Q29" s="92" t="inlineStr">
        <is>
          <t>CASH</t>
        </is>
      </c>
      <c r="R29" s="49" t="inlineStr">
        <is>
          <t>CASH</t>
        </is>
      </c>
      <c r="S29" s="105" t="n"/>
      <c r="T29" s="105" t="n"/>
      <c r="U29" s="45" t="n"/>
      <c r="V29" s="45" t="n"/>
      <c r="W29" s="189" t="n"/>
      <c r="X29" s="127" t="n"/>
    </row>
    <row r="30" ht="27.75" customHeight="1">
      <c r="A30" s="272" t="n"/>
      <c r="C30" s="3" t="n"/>
      <c r="D30" s="96" t="n"/>
      <c r="E30" s="96" t="n"/>
      <c r="F30" s="96" t="n"/>
      <c r="G30" s="97" t="n"/>
      <c r="H30" s="98" t="inlineStr">
        <is>
          <t>MARIA</t>
        </is>
      </c>
      <c r="I30" s="99" t="inlineStr">
        <is>
          <t>445-930</t>
        </is>
      </c>
      <c r="J30" s="215" t="n"/>
      <c r="K30" s="45" t="n"/>
      <c r="L30" s="45" t="n"/>
      <c r="M30" s="45" t="n"/>
      <c r="N30" s="45" t="n"/>
      <c r="O30" s="45" t="n"/>
      <c r="P30" s="45" t="n"/>
      <c r="Q30" s="45" t="n"/>
      <c r="R30" s="49" t="inlineStr">
        <is>
          <t>WOMENS</t>
        </is>
      </c>
      <c r="S30" s="93" t="n"/>
      <c r="T30" s="93" t="n"/>
      <c r="U30" s="93" t="n"/>
      <c r="V30" s="93" t="n"/>
      <c r="W30" s="89" t="n"/>
      <c r="X30" s="127" t="n"/>
    </row>
    <row r="31" ht="27.75" customHeight="1">
      <c r="A31" s="186" t="n"/>
      <c r="B31" s="273" t="n"/>
      <c r="C31" s="3" t="n"/>
      <c r="D31" s="96" t="n"/>
      <c r="E31" s="96" t="n"/>
      <c r="F31" s="96" t="n"/>
      <c r="G31" s="97" t="n"/>
      <c r="H31" s="98" t="inlineStr">
        <is>
          <t>AVA M</t>
        </is>
      </c>
      <c r="I31" s="99" t="inlineStr">
        <is>
          <t>445-930</t>
        </is>
      </c>
      <c r="J31" s="215" t="n"/>
      <c r="K31" s="45" t="n"/>
      <c r="L31" s="45" t="n"/>
      <c r="M31" s="45" t="n"/>
      <c r="N31" s="45" t="n"/>
      <c r="O31" s="45" t="n"/>
      <c r="P31" s="45" t="n"/>
      <c r="Q31" s="45" t="n"/>
      <c r="R31" s="49" t="inlineStr">
        <is>
          <t>MENS</t>
        </is>
      </c>
      <c r="S31" s="104" t="n"/>
      <c r="T31" s="104" t="n"/>
      <c r="U31" s="104" t="n"/>
      <c r="V31" s="104" t="n"/>
      <c r="W31" s="89" t="n"/>
      <c r="X31" s="127" t="n"/>
    </row>
    <row r="32" ht="27.75" customHeight="1">
      <c r="A32" s="186" t="n"/>
      <c r="B32" s="273" t="n"/>
      <c r="C32" s="3" t="n"/>
      <c r="D32" s="96" t="n"/>
      <c r="E32" s="96" t="n"/>
      <c r="F32" s="96" t="n"/>
      <c r="G32" s="97" t="n"/>
      <c r="H32" s="98" t="inlineStr">
        <is>
          <t>SHAE</t>
        </is>
      </c>
      <c r="I32" s="99" t="inlineStr">
        <is>
          <t>445-930</t>
        </is>
      </c>
      <c r="J32" s="215" t="n"/>
      <c r="K32" s="45" t="n"/>
      <c r="L32" s="45" t="n"/>
      <c r="M32" s="45" t="n"/>
      <c r="N32" s="45" t="n"/>
      <c r="O32" s="45" t="n"/>
      <c r="P32" s="45" t="n"/>
      <c r="Q32" s="45" t="n"/>
      <c r="R32" s="49" t="inlineStr">
        <is>
          <t>FITS</t>
        </is>
      </c>
      <c r="S32" s="108" t="n"/>
      <c r="T32" s="108" t="n"/>
      <c r="U32" s="108" t="n"/>
      <c r="V32" s="108" t="n"/>
      <c r="W32" s="89" t="n"/>
      <c r="X32" s="127" t="n"/>
    </row>
    <row r="33" ht="27.75" customHeight="1">
      <c r="A33" s="186" t="n"/>
      <c r="B33" s="273" t="n"/>
      <c r="C33" s="3" t="n"/>
      <c r="D33" s="96" t="n"/>
      <c r="E33" s="96" t="n"/>
      <c r="F33" s="96" t="n"/>
      <c r="G33" s="97" t="n"/>
      <c r="H33" s="98" t="inlineStr">
        <is>
          <t>LESLEY</t>
        </is>
      </c>
      <c r="I33" s="99" t="inlineStr">
        <is>
          <t>430-9</t>
        </is>
      </c>
      <c r="J33" s="215" t="n"/>
      <c r="K33" s="45" t="n"/>
      <c r="L33" s="45" t="n"/>
      <c r="M33" s="45" t="n"/>
      <c r="N33" s="45" t="n"/>
      <c r="O33" s="45" t="n"/>
      <c r="P33" s="45" t="n"/>
      <c r="Q33" s="45" t="n"/>
      <c r="R33" s="49" t="inlineStr">
        <is>
          <t>SHIPMENT</t>
        </is>
      </c>
      <c r="S33" s="241" t="n"/>
      <c r="T33" s="241" t="n"/>
      <c r="U33" s="241" t="n"/>
      <c r="V33" s="241" t="n"/>
      <c r="W33" s="89" t="n"/>
      <c r="X33" s="127" t="n"/>
    </row>
    <row r="34" ht="27.75" customHeight="1">
      <c r="A34" s="186" t="n"/>
      <c r="C34" s="3" t="n"/>
      <c r="D34" s="96" t="n"/>
      <c r="E34" s="96" t="n"/>
      <c r="F34" s="96" t="n"/>
      <c r="G34" s="97" t="n"/>
      <c r="H34" s="98" t="inlineStr">
        <is>
          <t>PEYTON</t>
        </is>
      </c>
      <c r="I34" s="99" t="inlineStr">
        <is>
          <t>430-9</t>
        </is>
      </c>
      <c r="J34" s="215" t="n"/>
      <c r="K34" s="45" t="n"/>
      <c r="L34" s="45" t="n"/>
      <c r="M34" s="45" t="n"/>
      <c r="N34" s="45" t="n"/>
      <c r="O34" s="45" t="n"/>
      <c r="P34" s="45" t="n"/>
      <c r="Q34" s="45" t="n"/>
      <c r="R34" s="49" t="inlineStr">
        <is>
          <t>SHIPMENT</t>
        </is>
      </c>
      <c r="S34" s="241" t="n"/>
      <c r="T34" s="241" t="n"/>
      <c r="U34" s="241" t="n"/>
      <c r="V34" s="241" t="n"/>
      <c r="W34" s="89" t="n"/>
      <c r="X34" s="274" t="inlineStr">
        <is>
          <t>SELLING HOURS</t>
        </is>
      </c>
    </row>
    <row r="35" ht="27.75" customHeight="1">
      <c r="A35" s="186" t="n"/>
      <c r="C35" s="3" t="n"/>
      <c r="D35" s="96" t="n"/>
      <c r="E35" s="96" t="n"/>
      <c r="F35" s="96" t="n"/>
      <c r="G35" s="97" t="n"/>
      <c r="H35" s="98" t="n"/>
      <c r="I35" s="129" t="n"/>
      <c r="J35" s="21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89" t="n"/>
      <c r="X35" s="127">
        <f>COUNTIF(#REF!,$R$50)+COUNTIF(#REF!,$S$50)+COUNTIF(#REF!,$M$50)+COUNTIF(#REF!,$N$50)+COUNTIF(#REF!,$O$50)+COUNTIF(#REF!,$P$50)+COUNTIF(#REF!,$Q$50)</f>
        <v/>
      </c>
    </row>
    <row r="36" ht="27.75" customHeight="1">
      <c r="A36" s="186" t="n"/>
      <c r="C36" s="3" t="n"/>
      <c r="D36" s="96" t="n"/>
      <c r="E36" s="96" t="n"/>
      <c r="F36" s="96" t="n"/>
      <c r="G36" s="97" t="n"/>
      <c r="H36" s="98" t="n"/>
      <c r="I36" s="129" t="n"/>
      <c r="J36" s="215" t="n"/>
      <c r="K36" s="45" t="n"/>
      <c r="L36" s="45" t="n"/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89" t="n"/>
      <c r="X36" s="127">
        <f>COUNTIF(#REF!,$R$50)+COUNTIF(#REF!,$S$50)+COUNTIF(#REF!,$M$50)+COUNTIF(#REF!,$N$50)+COUNTIF(#REF!,$O$50)+COUNTIF(#REF!,$P$50)+COUNTIF(#REF!,$Q$50)</f>
        <v/>
      </c>
    </row>
    <row r="37" ht="27.75" customHeight="1">
      <c r="A37" s="263" t="inlineStr">
        <is>
          <t>CONSUMER EXPERIENCE</t>
        </is>
      </c>
      <c r="C37" s="3" t="n"/>
      <c r="D37" s="96" t="n"/>
      <c r="E37" s="96" t="n"/>
      <c r="F37" s="96" t="n"/>
      <c r="G37" s="97" t="n"/>
      <c r="H37" s="98" t="n"/>
      <c r="I37" s="129" t="n"/>
      <c r="J37" s="21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89" t="n"/>
      <c r="X37" s="127">
        <f>COUNTIF(#REF!,$R$50)+COUNTIF(#REF!,$S$50)+COUNTIF(#REF!,$M$50)+COUNTIF(#REF!,$N$50)+COUNTIF(#REF!,$O$50)+COUNTIF(#REF!,$P$50)+COUNTIF(#REF!,$Q$50)</f>
        <v/>
      </c>
    </row>
    <row r="38" ht="27.75" customHeight="1">
      <c r="A38" s="186" t="inlineStr">
        <is>
          <t>Conversion is key! Aim to convert 1 of 4 consumers you service</t>
        </is>
      </c>
      <c r="C38" s="3" t="n"/>
      <c r="D38" s="96" t="n"/>
      <c r="E38" s="96" t="n"/>
      <c r="F38" s="96" t="n"/>
      <c r="G38" s="97" t="n"/>
      <c r="H38" s="98" t="n"/>
      <c r="I38" s="129" t="n"/>
      <c r="J38" s="215" t="n"/>
      <c r="K38" s="45" t="n"/>
      <c r="L38" s="45" t="n"/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89" t="n"/>
      <c r="X38" s="127">
        <f>COUNTIF(#REF!,$R$50)+COUNTIF(#REF!,$S$50)+COUNTIF(#REF!,$M$50)+COUNTIF(#REF!,$N$50)+COUNTIF(#REF!,$O$50)+COUNTIF(#REF!,$P$50)+COUNTIF(#REF!,$Q$50)</f>
        <v/>
      </c>
    </row>
    <row r="39" ht="27.75" customHeight="1">
      <c r="A39" s="186" t="inlineStr">
        <is>
          <t>Maximize on the fitting room experience to drive ATV and UPT</t>
        </is>
      </c>
      <c r="C39" s="3" t="n"/>
      <c r="D39" s="96" t="n"/>
      <c r="E39" s="96" t="n"/>
      <c r="F39" s="96" t="n"/>
      <c r="G39" s="97" t="n"/>
      <c r="H39" s="98" t="n"/>
      <c r="I39" s="129" t="n"/>
      <c r="J39" s="129" t="n"/>
      <c r="K39" s="119" t="n"/>
      <c r="L39" s="119" t="n"/>
      <c r="M39" s="119" t="n"/>
      <c r="N39" s="119" t="n"/>
      <c r="O39" s="119" t="n"/>
      <c r="P39" s="119" t="n"/>
      <c r="Q39" s="119" t="n"/>
      <c r="R39" s="119" t="n"/>
      <c r="S39" s="119" t="n"/>
      <c r="T39" s="119" t="n"/>
      <c r="U39" s="119" t="n"/>
      <c r="V39" s="119" t="n"/>
      <c r="W39" s="89" t="n"/>
      <c r="X39" s="127">
        <f>COUNTIF(#REF!,$R$50)+COUNTIF(#REF!,$S$50)+COUNTIF(#REF!,$M$50)+COUNTIF(#REF!,$N$50)+COUNTIF(#REF!,$O$50)+COUNTIF(#REF!,$P$50)+COUNTIF(#REF!,$Q$50)</f>
        <v/>
      </c>
    </row>
    <row r="40" ht="27.75" customHeight="1">
      <c r="A40" s="186" t="n"/>
      <c r="C40" s="3" t="n"/>
      <c r="D40" s="96" t="n"/>
      <c r="E40" s="96" t="n"/>
      <c r="F40" s="96" t="n"/>
      <c r="G40" s="97" t="n"/>
      <c r="H40" s="98" t="n"/>
      <c r="I40" s="129" t="n"/>
      <c r="J40" s="129" t="n"/>
      <c r="K40" s="119" t="n"/>
      <c r="L40" s="119" t="n"/>
      <c r="M40" s="119" t="n"/>
      <c r="N40" s="119" t="n"/>
      <c r="O40" s="119" t="n"/>
      <c r="P40" s="119" t="n"/>
      <c r="Q40" s="119" t="n"/>
      <c r="R40" s="119" t="n"/>
      <c r="S40" s="119" t="n"/>
      <c r="T40" s="119" t="n"/>
      <c r="U40" s="119" t="n"/>
      <c r="V40" s="119" t="n"/>
      <c r="W40" s="89" t="n"/>
      <c r="X40" s="127">
        <f>COUNTIF(#REF!,$R$50)+COUNTIF(#REF!,$S$50)+COUNTIF(#REF!,$M$50)+COUNTIF(#REF!,$N$50)+COUNTIF(#REF!,$O$50)+COUNTIF(#REF!,$P$50)+COUNTIF(#REF!,$Q$50)</f>
        <v/>
      </c>
    </row>
    <row r="41" ht="27.75" customHeight="1">
      <c r="A41" s="263" t="inlineStr">
        <is>
          <t>OPERATIONS</t>
        </is>
      </c>
      <c r="C41" s="3" t="n"/>
      <c r="D41" s="96" t="n"/>
      <c r="E41" s="96" t="n"/>
      <c r="F41" s="96" t="n"/>
      <c r="G41" s="97" t="n"/>
      <c r="H41" s="98" t="n"/>
      <c r="I41" s="129" t="n"/>
      <c r="J41" s="129" t="n"/>
      <c r="K41" s="119" t="n"/>
      <c r="L41" s="119" t="n"/>
      <c r="M41" s="119" t="n"/>
      <c r="N41" s="119" t="n"/>
      <c r="O41" s="119" t="n"/>
      <c r="P41" s="119" t="n"/>
      <c r="Q41" s="119" t="n"/>
      <c r="R41" s="119" t="n"/>
      <c r="S41" s="119" t="n"/>
      <c r="T41" s="119" t="n"/>
      <c r="U41" s="119" t="n"/>
      <c r="V41" s="119" t="n"/>
      <c r="W41" s="89" t="n"/>
      <c r="X41" s="127">
        <f>COUNTIF(#REF!,$R$50)+COUNTIF(#REF!,$S$50)+COUNTIF(#REF!,$M$50)+COUNTIF(#REF!,$N$50)+COUNTIF(#REF!,$O$50)+COUNTIF(#REF!,$P$50)+COUNTIF(#REF!,$Q$50)</f>
        <v/>
      </c>
    </row>
    <row r="42" ht="27.75" customHeight="1">
      <c r="A42" s="186" t="n"/>
      <c r="C42" s="124" t="n"/>
      <c r="D42" s="96" t="n"/>
      <c r="E42" s="96" t="n"/>
      <c r="F42" s="96" t="n"/>
      <c r="G42" s="97" t="n"/>
      <c r="H42" s="98" t="n"/>
      <c r="I42" s="129" t="n"/>
      <c r="J42" s="129" t="n"/>
      <c r="K42" s="119" t="n"/>
      <c r="L42" s="119" t="n"/>
      <c r="M42" s="119" t="n"/>
      <c r="N42" s="119" t="n"/>
      <c r="O42" s="119" t="n"/>
      <c r="P42" s="119" t="n"/>
      <c r="Q42" s="119" t="n"/>
      <c r="R42" s="119" t="n"/>
      <c r="S42" s="119" t="n"/>
      <c r="T42" s="119" t="n"/>
      <c r="U42" s="119" t="n"/>
      <c r="V42" s="119" t="n"/>
      <c r="W42" s="89" t="n"/>
      <c r="X42" s="127">
        <f>COUNTIF(K30:V30,$R$50)+COUNTIF(K30:V30,$S$50)+COUNTIF(K30:V30,$M$50)+COUNTIF(K30:V30,$N$50)+COUNTIF(K30:V30,$O$50)+COUNTIF(K30:V30,$P$50)+COUNTIF(K30:V30,$Q$50)</f>
        <v/>
      </c>
    </row>
    <row r="43" ht="27.75" customHeight="1">
      <c r="A43" s="186" t="n"/>
      <c r="C43" s="124" t="n"/>
      <c r="D43" s="96" t="n"/>
      <c r="E43" s="96" t="n"/>
      <c r="F43" s="96" t="n"/>
      <c r="G43" s="97" t="n"/>
      <c r="H43" s="98" t="n"/>
      <c r="I43" s="129" t="n"/>
      <c r="J43" s="129" t="n"/>
      <c r="K43" s="119" t="n"/>
      <c r="L43" s="119" t="n"/>
      <c r="M43" s="119" t="n"/>
      <c r="N43" s="119" t="n"/>
      <c r="O43" s="119" t="n"/>
      <c r="P43" s="119" t="n"/>
      <c r="Q43" s="119" t="n"/>
      <c r="R43" s="119" t="n"/>
      <c r="S43" s="119" t="n"/>
      <c r="T43" s="119" t="n"/>
      <c r="U43" s="119" t="n"/>
      <c r="V43" s="119" t="n"/>
      <c r="W43" s="89" t="n"/>
      <c r="X43" s="127">
        <f>COUNTIF(K32:V32,$R$50)+COUNTIF(K32:V32,$S$50)+COUNTIF(K32:V32,$M$50)+COUNTIF(K32:V32,$N$50)+COUNTIF(K32:V32,$O$50)+COUNTIF(K32:V32,$P$50)+COUNTIF(K32:V32,$Q$50)</f>
        <v/>
      </c>
    </row>
    <row r="44" ht="27.75" customHeight="1">
      <c r="A44" s="186" t="n"/>
      <c r="C44" s="124" t="n"/>
      <c r="D44" s="96" t="n"/>
      <c r="E44" s="96" t="n"/>
      <c r="F44" s="96" t="n"/>
      <c r="G44" s="97" t="n"/>
      <c r="H44" s="98" t="n"/>
      <c r="I44" s="129" t="n"/>
      <c r="J44" s="129" t="n"/>
      <c r="K44" s="119" t="n"/>
      <c r="L44" s="119" t="n"/>
      <c r="M44" s="119" t="n"/>
      <c r="N44" s="119" t="n"/>
      <c r="O44" s="119" t="n"/>
      <c r="P44" s="119" t="n"/>
      <c r="Q44" s="119" t="n"/>
      <c r="R44" s="119" t="n"/>
      <c r="S44" s="119" t="n"/>
      <c r="T44" s="119" t="n"/>
      <c r="U44" s="119" t="n"/>
      <c r="V44" s="119" t="n"/>
      <c r="W44" s="89" t="n"/>
      <c r="X44" s="127">
        <f>COUNTIF(#REF!,$R$50)+COUNTIF(#REF!,$S$50)+COUNTIF(#REF!,$M$50)+COUNTIF(#REF!,$N$50)+COUNTIF(#REF!,$O$50)+COUNTIF(#REF!,$P$50)+COUNTIF(#REF!,$Q$50)</f>
        <v/>
      </c>
    </row>
    <row r="45" ht="27.75" customHeight="1">
      <c r="A45" s="263" t="inlineStr">
        <is>
          <t>HR &amp; PEOPLE</t>
        </is>
      </c>
      <c r="C45" s="124" t="n"/>
      <c r="D45" s="96" t="n"/>
      <c r="E45" s="96" t="n"/>
      <c r="F45" s="96" t="n"/>
      <c r="G45" s="97" t="n"/>
      <c r="H45" s="33" t="n"/>
      <c r="I45" s="133" t="n"/>
      <c r="J45" s="133" t="n"/>
      <c r="K45" s="138" t="n"/>
      <c r="L45" s="138" t="n"/>
      <c r="M45" s="138" t="n"/>
      <c r="N45" s="138" t="n"/>
      <c r="O45" s="138" t="n"/>
      <c r="P45" s="138" t="n"/>
      <c r="Q45" s="138" t="n"/>
      <c r="R45" s="138" t="n"/>
      <c r="S45" s="138" t="n"/>
      <c r="T45" s="138" t="n"/>
      <c r="U45" s="138" t="n"/>
      <c r="V45" s="138" t="n"/>
      <c r="W45" s="89" t="n"/>
      <c r="X45" s="127">
        <f>COUNTIF(#REF!,$R$50)+COUNTIF(#REF!,$S$50)+COUNTIF(#REF!,$M$50)+COUNTIF(#REF!,$N$50)+COUNTIF(#REF!,$O$50)+COUNTIF(#REF!,$P$50)+COUNTIF(#REF!,$Q$50)</f>
        <v/>
      </c>
    </row>
    <row r="46" ht="27.75" customHeight="1">
      <c r="A46" s="186" t="n"/>
      <c r="C46" s="124" t="n"/>
      <c r="D46" s="96" t="n"/>
      <c r="E46" s="96" t="n"/>
      <c r="F46" s="96" t="n"/>
      <c r="G46" s="97" t="n"/>
      <c r="H46" s="132" t="n"/>
      <c r="I46" s="136" t="n"/>
      <c r="J46" s="136" t="n"/>
      <c r="K46" s="141" t="n"/>
      <c r="L46" s="141" t="n"/>
      <c r="M46" s="141" t="n"/>
      <c r="N46" s="141" t="n"/>
      <c r="O46" s="141" t="n"/>
      <c r="P46" s="141" t="n"/>
      <c r="Q46" s="141" t="n"/>
      <c r="R46" s="141" t="n"/>
      <c r="S46" s="141" t="n"/>
      <c r="T46" s="141" t="n"/>
      <c r="U46" s="141" t="n"/>
      <c r="V46" s="141" t="n"/>
      <c r="W46" s="89" t="n"/>
      <c r="X46" s="127">
        <f>COUNTIF(K33:V33,$R$50)+COUNTIF(K33:V33,$S$50)+COUNTIF(K33:V33,$M$50)+COUNTIF(K33:V33,$N$50)+COUNTIF(K33:V33,$O$50)+COUNTIF(K33:V33,$P$50)+COUNTIF(K33:V33,$Q$50)</f>
        <v/>
      </c>
    </row>
    <row r="47" ht="27.75" customHeight="1">
      <c r="A47" s="186" t="n"/>
      <c r="C47" s="124" t="n"/>
      <c r="D47" s="96" t="n"/>
      <c r="E47" s="96" t="n"/>
      <c r="F47" s="96" t="n"/>
      <c r="G47" s="97" t="n"/>
      <c r="H47" s="135" t="n"/>
      <c r="I47" s="137" t="n"/>
      <c r="J47" s="137" t="n"/>
      <c r="K47" s="148" t="n"/>
      <c r="L47" s="148" t="n"/>
      <c r="M47" s="148" t="n"/>
      <c r="N47" s="148" t="n"/>
      <c r="O47" s="148" t="n"/>
      <c r="P47" s="148" t="n"/>
      <c r="Q47" s="148" t="n"/>
      <c r="R47" s="148" t="n"/>
      <c r="S47" s="148" t="n"/>
      <c r="T47" s="148" t="n"/>
      <c r="U47" s="148" t="n"/>
      <c r="V47" s="148" t="n"/>
      <c r="W47" s="118" t="n"/>
      <c r="X47" s="127">
        <f>COUNTIF(K36:V36,$R$50)+COUNTIF(K36:V36,$S$50)+COUNTIF(K36:V36,$M$50)+COUNTIF(K36:V36,$N$50)+COUNTIF(K36:V36,$O$50)+COUNTIF(K36:V36,$P$50)+COUNTIF(K36:V36,$Q$50)</f>
        <v/>
      </c>
    </row>
    <row r="48" ht="27.75" customHeight="1">
      <c r="A48" s="263" t="inlineStr">
        <is>
          <t>BRAND ENVIRONMENT</t>
        </is>
      </c>
      <c r="C48" s="124" t="n"/>
      <c r="D48" s="96" t="n"/>
      <c r="E48" s="96" t="n"/>
      <c r="F48" s="96" t="n"/>
      <c r="G48" s="97" t="n"/>
      <c r="H48" s="135" t="n"/>
      <c r="I48" s="137" t="n"/>
      <c r="J48" s="137" t="n"/>
      <c r="K48" s="148" t="n"/>
      <c r="L48" s="148" t="n"/>
      <c r="M48" s="148" t="n"/>
      <c r="N48" s="148" t="n"/>
      <c r="O48" s="148" t="n"/>
      <c r="P48" s="148" t="n"/>
      <c r="Q48" s="148" t="n"/>
      <c r="R48" s="148" t="n"/>
      <c r="S48" s="148" t="n"/>
      <c r="T48" s="148" t="n"/>
      <c r="U48" s="148" t="n"/>
      <c r="V48" s="148" t="n"/>
      <c r="W48" s="89" t="n"/>
      <c r="X48" s="127">
        <f>COUNTIF(#REF!,$R$50)+COUNTIF(#REF!,$S$50)+COUNTIF(#REF!,$M$50)+COUNTIF(#REF!,$N$50)+COUNTIF(#REF!,$O$50)+COUNTIF(#REF!,$P$50)+COUNTIF(#REF!,$Q$50)</f>
        <v/>
      </c>
    </row>
    <row r="49" ht="27.75" customHeight="1">
      <c r="A49" s="186" t="n"/>
      <c r="C49" s="124" t="n"/>
      <c r="D49" s="96" t="n"/>
      <c r="E49" s="96" t="n"/>
      <c r="F49" s="96" t="n"/>
      <c r="G49" s="97" t="n"/>
      <c r="H49" s="135" t="n"/>
      <c r="I49" s="137" t="n"/>
      <c r="J49" s="137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48" t="n"/>
      <c r="V49" s="148" t="n"/>
      <c r="W49" s="144" t="n"/>
      <c r="X49" s="127">
        <f>COUNTIF(#REF!,$R$50)+COUNTIF(#REF!,$S$50)+COUNTIF(#REF!,$M$50)+COUNTIF(#REF!,$N$50)+COUNTIF(#REF!,$O$50)+COUNTIF(#REF!,$P$50)+COUNTIF(#REF!,$Q$50)</f>
        <v/>
      </c>
    </row>
    <row r="50" ht="27.75" customHeight="1">
      <c r="A50" s="186" t="n"/>
      <c r="C50" s="124" t="n"/>
      <c r="D50" s="96" t="n"/>
      <c r="E50" s="96" t="n"/>
      <c r="F50" s="96" t="n"/>
      <c r="G50" s="97" t="n"/>
      <c r="H50" s="159" t="n"/>
      <c r="I50" s="135" t="inlineStr">
        <is>
          <t>SELECT</t>
        </is>
      </c>
      <c r="J50" s="137" t="n"/>
      <c r="K50" s="275" t="inlineStr">
        <is>
          <t>BREAK</t>
        </is>
      </c>
      <c r="L50" s="192" t="inlineStr">
        <is>
          <t>CEL</t>
        </is>
      </c>
      <c r="M50" s="153" t="inlineStr">
        <is>
          <t>MENS</t>
        </is>
      </c>
      <c r="N50" s="153" t="inlineStr">
        <is>
          <t>WOMENS</t>
        </is>
      </c>
      <c r="O50" s="153" t="inlineStr">
        <is>
          <t>FLEX</t>
        </is>
      </c>
      <c r="P50" s="153" t="inlineStr">
        <is>
          <t>STYLIST</t>
        </is>
      </c>
      <c r="Q50" s="193" t="inlineStr">
        <is>
          <t>CASH</t>
        </is>
      </c>
      <c r="R50" s="193" t="inlineStr">
        <is>
          <t>FITS</t>
        </is>
      </c>
      <c r="S50" s="193" t="inlineStr">
        <is>
          <t>GREET</t>
        </is>
      </c>
      <c r="T50" s="194" t="inlineStr">
        <is>
          <t>OFFICE</t>
        </is>
      </c>
      <c r="U50" s="194" t="inlineStr">
        <is>
          <t>TASK</t>
        </is>
      </c>
      <c r="V50" s="194" t="inlineStr">
        <is>
          <t>SHIPMENT</t>
        </is>
      </c>
      <c r="W50" s="151" t="n"/>
      <c r="X50" s="127">
        <f>COUNTIF(#REF!,$R$50)+COUNTIF(#REF!,$S$50)+COUNTIF(#REF!,$M$50)+COUNTIF(#REF!,$N$50)+COUNTIF(#REF!,$O$50)+COUNTIF(#REF!,$P$50)+COUNTIF(#REF!,$Q$50)</f>
        <v/>
      </c>
    </row>
    <row r="51" ht="27.75" customHeight="1">
      <c r="A51" s="263" t="inlineStr">
        <is>
          <t>HEALTHY &amp; SAFETY</t>
        </is>
      </c>
      <c r="C51" s="124" t="n"/>
      <c r="D51" s="96" t="n"/>
      <c r="E51" s="96" t="n"/>
      <c r="F51" s="96" t="n"/>
      <c r="G51" s="97" t="n"/>
      <c r="H51" s="159" t="n"/>
      <c r="I51" s="64" t="n"/>
      <c r="J51" s="64" t="n"/>
      <c r="K51" s="68" t="n"/>
      <c r="L51" s="68" t="n"/>
      <c r="M51" s="68" t="n"/>
      <c r="N51" s="68" t="n"/>
      <c r="O51" s="68" t="n"/>
      <c r="P51" s="68" t="n"/>
      <c r="Q51" s="68" t="n"/>
      <c r="R51" s="68" t="n"/>
      <c r="S51" s="68" t="n"/>
      <c r="T51" s="68" t="n"/>
      <c r="U51" s="68" t="n"/>
      <c r="V51" s="68" t="n"/>
      <c r="W51" s="151" t="n"/>
      <c r="X51" s="127">
        <f>COUNTIF(K37:V37,$R$50)+COUNTIF(K37:V37,$S$50)+COUNTIF(K37:V37,$M$50)+COUNTIF(K37:V37,$N$50)+COUNTIF(K37:V37,$O$50)+COUNTIF(K37:V37,$P$50)+COUNTIF(K37:V37,$Q$50)</f>
        <v/>
      </c>
    </row>
    <row r="52" ht="27.75" customHeight="1">
      <c r="A52" s="186" t="inlineStr">
        <is>
          <t>JH&amp;S Training Week of August 7</t>
        </is>
      </c>
      <c r="C52" s="124" t="n"/>
      <c r="D52" s="96" t="n"/>
      <c r="E52" s="96" t="n"/>
      <c r="F52" s="96" t="n"/>
      <c r="G52" s="97" t="n"/>
      <c r="H52" s="159" t="n"/>
      <c r="I52" s="64" t="n"/>
      <c r="J52" s="64" t="n"/>
      <c r="K52" s="68" t="n"/>
      <c r="L52" s="68" t="n"/>
      <c r="M52" s="68" t="n"/>
      <c r="N52" s="68" t="n"/>
      <c r="O52" s="68" t="n"/>
      <c r="P52" s="68" t="n"/>
      <c r="Q52" s="68" t="n"/>
      <c r="R52" s="68" t="n"/>
      <c r="S52" s="68" t="n"/>
      <c r="T52" s="68" t="n"/>
      <c r="U52" s="68" t="n"/>
      <c r="V52" s="68" t="n"/>
      <c r="W52" s="151" t="n"/>
      <c r="X52" s="127">
        <f>COUNTIF(K38:V38,$R$50)+COUNTIF(K38:V38,$S$50)+COUNTIF(K38:V38,$M$50)+COUNTIF(K38:V38,$N$50)+COUNTIF(K38:V38,$O$50)+COUNTIF(K38:V38,$P$50)+COUNTIF(K38:V38,$Q$50)</f>
        <v/>
      </c>
    </row>
    <row r="53" ht="27.75" customHeight="1">
      <c r="A53" s="186" t="inlineStr">
        <is>
          <t>Please use ladders / Lift items with legs and not back</t>
        </is>
      </c>
      <c r="C53" s="124" t="n"/>
      <c r="D53" s="96" t="n"/>
      <c r="E53" s="96" t="n"/>
      <c r="F53" s="96" t="n"/>
      <c r="G53" s="97" t="n"/>
      <c r="H53" s="159" t="n"/>
      <c r="I53" s="64" t="n"/>
      <c r="J53" s="64" t="n"/>
      <c r="K53" s="68" t="n"/>
      <c r="L53" s="68" t="n"/>
      <c r="M53" s="68" t="n"/>
      <c r="N53" s="68" t="n"/>
      <c r="O53" s="68" t="n"/>
      <c r="P53" s="68" t="n"/>
      <c r="Q53" s="68" t="n"/>
      <c r="R53" s="68" t="n"/>
      <c r="S53" s="68" t="n"/>
      <c r="T53" s="68" t="n"/>
      <c r="U53" s="68" t="n"/>
      <c r="V53" s="68" t="n"/>
      <c r="W53" s="2" t="n"/>
      <c r="X53" s="127">
        <f>COUNTIF(K39:V39,$R$50)+COUNTIF(K39:V39,$S$50)+COUNTIF(K39:V39,$M$50)+COUNTIF(K39:V39,$N$50)+COUNTIF(K39:V39,$O$50)+COUNTIF(K39:V39,$P$50)+COUNTIF(K39:V39,$Q$50)</f>
        <v/>
      </c>
    </row>
    <row r="54" ht="27.75" customHeight="1">
      <c r="A54" s="263" t="inlineStr">
        <is>
          <t>LOSS PREVENTION</t>
        </is>
      </c>
      <c r="C54" s="124" t="n"/>
      <c r="D54" s="96" t="n"/>
      <c r="E54" s="96" t="n"/>
      <c r="F54" s="96" t="n"/>
      <c r="G54" s="97" t="n"/>
      <c r="H54" s="159" t="n"/>
      <c r="I54" s="64" t="n"/>
      <c r="J54" s="64" t="n"/>
      <c r="K54" s="68" t="n"/>
      <c r="L54" s="68" t="n"/>
      <c r="M54" s="68" t="n"/>
      <c r="N54" s="68" t="n"/>
      <c r="O54" s="68" t="n"/>
      <c r="P54" s="68" t="n"/>
      <c r="Q54" s="68" t="n"/>
      <c r="R54" s="68" t="n"/>
      <c r="S54" s="68" t="n"/>
      <c r="T54" s="68" t="n"/>
      <c r="U54" s="68" t="n"/>
      <c r="V54" s="68" t="n"/>
      <c r="W54" s="2" t="n"/>
      <c r="X54" s="127">
        <f>COUNTIF(K40:V40,$R$50)+COUNTIF(K40:V40,$S$50)+COUNTIF(K40:V40,$M$50)+COUNTIF(K40:V40,$N$50)+COUNTIF(K40:V40,$O$50)+COUNTIF(K40:V40,$P$50)+COUNTIF(K40:V40,$Q$50)</f>
        <v/>
      </c>
    </row>
    <row r="55" ht="27.75" customHeight="1">
      <c r="A55" s="186" t="inlineStr">
        <is>
          <t>ThinkLP decommissioned. Submit through LS&amp;Co. To Go.</t>
        </is>
      </c>
      <c r="C55" s="124" t="n"/>
      <c r="D55" s="96" t="n"/>
      <c r="E55" s="96" t="n"/>
      <c r="F55" s="96" t="n"/>
      <c r="G55" s="97" t="n"/>
      <c r="H55" s="159" t="n"/>
      <c r="I55" s="64" t="n"/>
      <c r="J55" s="64" t="n"/>
      <c r="K55" s="68" t="n"/>
      <c r="L55" s="68" t="n"/>
      <c r="M55" s="68" t="n"/>
      <c r="N55" s="68" t="n"/>
      <c r="O55" s="68" t="n"/>
      <c r="P55" s="68" t="n"/>
      <c r="Q55" s="68" t="n"/>
      <c r="R55" s="68" t="n"/>
      <c r="S55" s="68" t="n"/>
      <c r="T55" s="68" t="n"/>
      <c r="U55" s="68" t="n"/>
      <c r="V55" s="68" t="n"/>
      <c r="W55" s="2" t="n"/>
      <c r="X55" s="127">
        <f>COUNTIF(K41:V41,$R$50)+COUNTIF(K41:V41,$S$50)+COUNTIF(K41:V41,$M$50)+COUNTIF(K41:V41,$N$50)+COUNTIF(K41:V41,$O$50)+COUNTIF(K41:V41,$P$50)+COUNTIF(K41:V41,$Q$50)</f>
        <v/>
      </c>
    </row>
    <row r="56" ht="27.75" customHeight="1">
      <c r="A56" s="186" t="inlineStr">
        <is>
          <t>Acknowledge every consumer, ensure that front section is zoned</t>
        </is>
      </c>
      <c r="C56" s="124" t="n"/>
      <c r="D56" s="96" t="n"/>
      <c r="E56" s="96" t="n"/>
      <c r="F56" s="96" t="n"/>
      <c r="G56" s="97" t="n"/>
      <c r="H56" s="159" t="n"/>
      <c r="I56" s="64" t="n"/>
      <c r="J56" s="64" t="n"/>
      <c r="K56" s="68" t="n"/>
      <c r="L56" s="68" t="n"/>
      <c r="M56" s="68" t="n"/>
      <c r="N56" s="68" t="n"/>
      <c r="O56" s="68" t="n"/>
      <c r="P56" s="68" t="n"/>
      <c r="Q56" s="68" t="n"/>
      <c r="R56" s="68" t="n"/>
      <c r="S56" s="68" t="n"/>
      <c r="T56" s="68" t="n"/>
      <c r="U56" s="68" t="n"/>
      <c r="V56" s="68" t="n"/>
      <c r="W56" s="2" t="n"/>
      <c r="X56" s="127">
        <f>COUNTIF(#REF!,$R$50)+COUNTIF(#REF!,$S$50)+COUNTIF(#REF!,$M$50)+COUNTIF(#REF!,$N$50)+COUNTIF(#REF!,$O$50)+COUNTIF(#REF!,$P$50)+COUNTIF(#REF!,$Q$50)</f>
        <v/>
      </c>
    </row>
    <row r="57" ht="27.75" customHeight="1">
      <c r="A57" s="263" t="inlineStr">
        <is>
          <t>MARKETING</t>
        </is>
      </c>
      <c r="C57" s="124" t="n"/>
      <c r="D57" s="96" t="n"/>
      <c r="E57" s="96" t="n"/>
      <c r="F57" s="96" t="n"/>
      <c r="G57" s="97" t="n"/>
      <c r="H57" s="159" t="n"/>
      <c r="I57" s="64" t="n"/>
      <c r="J57" s="64" t="n"/>
      <c r="K57" s="68" t="n"/>
      <c r="L57" s="68" t="n"/>
      <c r="M57" s="68" t="n"/>
      <c r="N57" s="68" t="n"/>
      <c r="O57" s="68" t="n"/>
      <c r="P57" s="68" t="n"/>
      <c r="Q57" s="68" t="n"/>
      <c r="R57" s="68" t="n"/>
      <c r="S57" s="68" t="n"/>
      <c r="T57" s="68" t="n"/>
      <c r="U57" s="68" t="n"/>
      <c r="V57" s="68" t="n"/>
      <c r="W57" s="2" t="n"/>
      <c r="X57" s="127" t="n"/>
    </row>
    <row r="58" ht="27.75" customHeight="1">
      <c r="A58" s="186" t="inlineStr">
        <is>
          <t>Marketing Activation on September 4th Labour Day Weekend</t>
        </is>
      </c>
      <c r="C58" s="124" t="n"/>
      <c r="D58" s="96" t="n"/>
      <c r="E58" s="96" t="n"/>
      <c r="F58" s="96" t="n"/>
      <c r="G58" s="97" t="n"/>
      <c r="H58" s="159" t="n"/>
      <c r="I58" s="64" t="n"/>
      <c r="J58" s="64" t="n"/>
      <c r="K58" s="68" t="n"/>
      <c r="L58" s="68" t="n"/>
      <c r="M58" s="68" t="n"/>
      <c r="N58" s="68" t="n"/>
      <c r="O58" s="68" t="n"/>
      <c r="P58" s="68" t="n"/>
      <c r="Q58" s="68" t="n"/>
      <c r="R58" s="68" t="n"/>
      <c r="S58" s="68" t="n"/>
      <c r="T58" s="68" t="n"/>
      <c r="U58" s="68" t="n"/>
      <c r="V58" s="68" t="n"/>
      <c r="W58" s="2" t="n"/>
      <c r="X58" s="131" t="n"/>
    </row>
    <row r="59" ht="27.75" customHeight="1">
      <c r="A59" s="186" t="inlineStr">
        <is>
          <t>GWP Carryall - Spend $149 pre-tax. Use redemption code on Xstore</t>
        </is>
      </c>
      <c r="C59" s="124" t="n"/>
      <c r="D59" s="96" t="n"/>
      <c r="E59" s="96" t="n"/>
      <c r="F59" s="96" t="n"/>
      <c r="G59" s="97" t="n"/>
      <c r="H59" s="159" t="n"/>
      <c r="I59" s="64" t="n"/>
      <c r="J59" s="64" t="n"/>
      <c r="K59" s="68" t="n"/>
      <c r="L59" s="68" t="n"/>
      <c r="M59" s="68" t="n"/>
      <c r="N59" s="68" t="n"/>
      <c r="O59" s="68" t="n"/>
      <c r="P59" s="68" t="n"/>
      <c r="Q59" s="68" t="n"/>
      <c r="R59" s="68" t="n"/>
      <c r="S59" s="68" t="n"/>
      <c r="T59" s="68" t="n"/>
      <c r="U59" s="68" t="n"/>
      <c r="V59" s="68" t="n"/>
      <c r="W59" s="2" t="n"/>
      <c r="X59" s="134" t="n"/>
    </row>
    <row r="60" ht="27.75" customHeight="1">
      <c r="A60" s="263" t="inlineStr">
        <is>
          <t>OTHER</t>
        </is>
      </c>
      <c r="C60" s="124" t="n"/>
      <c r="D60" s="96" t="n"/>
      <c r="E60" s="96" t="n"/>
      <c r="F60" s="96" t="n"/>
      <c r="G60" s="97" t="n"/>
      <c r="H60" s="159" t="n"/>
      <c r="I60" s="64" t="n"/>
      <c r="J60" s="64" t="n"/>
      <c r="K60" s="68" t="n"/>
      <c r="L60" s="68" t="n"/>
      <c r="M60" s="68" t="n"/>
      <c r="N60" s="68" t="n"/>
      <c r="O60" s="68" t="n"/>
      <c r="P60" s="68" t="n"/>
      <c r="Q60" s="68" t="n"/>
      <c r="R60" s="68" t="n"/>
      <c r="S60" s="68" t="n"/>
      <c r="T60" s="68" t="n"/>
      <c r="U60" s="68" t="n"/>
      <c r="V60" s="68" t="n"/>
      <c r="W60" s="2" t="n"/>
      <c r="X60" s="134" t="n"/>
    </row>
    <row r="61" ht="27.75" customHeight="1">
      <c r="A61" s="186" t="inlineStr">
        <is>
          <t>New August Incentive - 3 tiers!</t>
        </is>
      </c>
      <c r="C61" s="124" t="n"/>
      <c r="D61" s="96" t="n"/>
      <c r="E61" s="96" t="n"/>
      <c r="F61" s="96" t="n"/>
      <c r="G61" s="97" t="n"/>
      <c r="H61" s="159" t="n"/>
      <c r="I61" s="64" t="n"/>
      <c r="J61" s="64" t="n"/>
      <c r="K61" s="68" t="n"/>
      <c r="L61" s="68" t="n"/>
      <c r="M61" s="68" t="n"/>
      <c r="N61" s="68" t="n"/>
      <c r="O61" s="68" t="n"/>
      <c r="P61" s="68" t="n"/>
      <c r="Q61" s="68" t="n"/>
      <c r="R61" s="68" t="n"/>
      <c r="S61" s="68" t="n"/>
      <c r="T61" s="68" t="n"/>
      <c r="U61" s="68" t="n"/>
      <c r="V61" s="68" t="n"/>
      <c r="W61" s="2" t="n"/>
      <c r="X61" s="134" t="n"/>
    </row>
    <row r="62" ht="27.75" customHeight="1">
      <c r="A62" s="264" t="n"/>
      <c r="B62" s="375" t="n"/>
      <c r="C62" s="124" t="n"/>
      <c r="D62" s="96" t="n"/>
      <c r="E62" s="96" t="n"/>
      <c r="F62" s="96" t="n"/>
      <c r="G62" s="97" t="n"/>
      <c r="H62" s="159" t="n"/>
      <c r="I62" s="64" t="n"/>
      <c r="J62" s="64" t="n"/>
      <c r="K62" s="68" t="n"/>
      <c r="L62" s="68" t="n"/>
      <c r="M62" s="68" t="n"/>
      <c r="N62" s="68" t="n"/>
      <c r="O62" s="68" t="n"/>
      <c r="P62" s="68" t="n"/>
      <c r="Q62" s="68" t="n"/>
      <c r="R62" s="68" t="n"/>
      <c r="S62" s="68" t="n"/>
      <c r="T62" s="68" t="n"/>
      <c r="U62" s="68" t="n"/>
      <c r="V62" s="68" t="n"/>
      <c r="W62" s="2" t="n"/>
      <c r="X62" s="134" t="n"/>
    </row>
    <row r="63" ht="26.25" customHeight="1">
      <c r="A63" s="145" t="n"/>
      <c r="B63" s="146" t="n"/>
      <c r="C63" s="124" t="n"/>
      <c r="D63" s="147" t="n"/>
      <c r="E63" s="147" t="n"/>
      <c r="F63" s="147" t="n"/>
      <c r="G63" s="147" t="n"/>
      <c r="H63" s="159" t="n"/>
      <c r="I63" s="64" t="n"/>
      <c r="J63" s="64" t="n"/>
      <c r="K63" s="68" t="n"/>
      <c r="L63" s="68" t="n"/>
      <c r="M63" s="68" t="n"/>
      <c r="N63" s="68" t="n"/>
      <c r="O63" s="68" t="n"/>
      <c r="P63" s="68" t="n"/>
      <c r="Q63" s="68" t="n"/>
      <c r="R63" s="68" t="n"/>
      <c r="S63" s="68" t="n"/>
      <c r="T63" s="68" t="n"/>
      <c r="U63" s="68" t="n"/>
      <c r="V63" s="68" t="n"/>
      <c r="W63" s="2" t="n"/>
      <c r="X63" s="134" t="n"/>
    </row>
    <row r="64" ht="26.25" customHeight="1">
      <c r="A64" s="145" t="n"/>
      <c r="B64" s="146" t="n"/>
      <c r="C64" s="124" t="n"/>
      <c r="D64" s="147" t="n"/>
      <c r="E64" s="147" t="n"/>
      <c r="F64" s="147" t="n"/>
      <c r="G64" s="147" t="n"/>
      <c r="H64" s="159" t="n"/>
      <c r="I64" s="64" t="n"/>
      <c r="J64" s="64" t="n"/>
      <c r="K64" s="68" t="n"/>
      <c r="L64" s="68" t="n"/>
      <c r="M64" s="68" t="n"/>
      <c r="N64" s="68" t="n"/>
      <c r="O64" s="68" t="n"/>
      <c r="P64" s="68" t="n"/>
      <c r="Q64" s="68" t="n"/>
      <c r="R64" s="68" t="n"/>
      <c r="S64" s="68" t="n"/>
      <c r="T64" s="68" t="n"/>
      <c r="U64" s="68" t="n"/>
      <c r="V64" s="68" t="n"/>
      <c r="W64" s="2" t="n"/>
      <c r="X64" s="134" t="n"/>
    </row>
    <row r="65" ht="26.25" customHeight="1">
      <c r="A65" s="145" t="n"/>
      <c r="B65" s="146" t="n"/>
      <c r="C65" s="124" t="n"/>
      <c r="D65" s="147" t="n"/>
      <c r="E65" s="147" t="n"/>
      <c r="F65" s="147" t="n"/>
      <c r="G65" s="147" t="n"/>
      <c r="H65" s="159" t="n"/>
      <c r="I65" s="64" t="n"/>
      <c r="J65" s="64" t="n"/>
      <c r="K65" s="68" t="n"/>
      <c r="L65" s="68" t="n"/>
      <c r="M65" s="68" t="n"/>
      <c r="N65" s="68" t="n"/>
      <c r="O65" s="68" t="n"/>
      <c r="P65" s="68" t="n"/>
      <c r="Q65" s="68" t="n"/>
      <c r="R65" s="68" t="n"/>
      <c r="S65" s="68" t="n"/>
      <c r="T65" s="68" t="n"/>
      <c r="U65" s="68" t="n"/>
      <c r="V65" s="68" t="n"/>
      <c r="W65" s="2" t="n"/>
      <c r="X65" s="134" t="n"/>
    </row>
    <row r="66" hidden="1" ht="17.25" customHeight="1">
      <c r="A66" s="159" t="n"/>
      <c r="B66" s="2" t="n"/>
      <c r="C66" s="124" t="n"/>
      <c r="D66" s="159" t="n"/>
      <c r="E66" s="159" t="n"/>
      <c r="F66" s="159" t="n"/>
      <c r="G66" s="159" t="n"/>
      <c r="H66" s="159" t="n"/>
      <c r="I66" s="64" t="n"/>
      <c r="J66" s="64" t="n"/>
      <c r="K66" s="68" t="n"/>
      <c r="L66" s="68" t="n"/>
      <c r="M66" s="68" t="n"/>
      <c r="N66" s="68" t="n"/>
      <c r="O66" s="68" t="n"/>
      <c r="P66" s="68" t="n"/>
      <c r="Q66" s="68" t="n"/>
      <c r="R66" s="68" t="n"/>
      <c r="S66" s="68" t="n"/>
      <c r="T66" s="68" t="n"/>
      <c r="U66" s="68" t="n"/>
      <c r="V66" s="68" t="n"/>
      <c r="W66" s="2" t="n"/>
      <c r="X66" s="158">
        <f>COUNTIF(#REF!,$R$50)+COUNTIF(#REF!,$S$50)+COUNTIF(#REF!,$M$50)+COUNTIF(#REF!,$N$50)+COUNTIF(#REF!,$O$50)+COUNTIF(#REF!,$P$50)+COUNTIF(#REF!,$Q$50)</f>
        <v/>
      </c>
    </row>
  </sheetData>
  <mergeCells count="54">
    <mergeCell ref="A48:B48"/>
    <mergeCell ref="A24:B24"/>
    <mergeCell ref="G8:G18"/>
    <mergeCell ref="A30:B30"/>
    <mergeCell ref="A59:B59"/>
    <mergeCell ref="A60:B60"/>
    <mergeCell ref="D6:D18"/>
    <mergeCell ref="H10:I10"/>
    <mergeCell ref="A49:B49"/>
    <mergeCell ref="A51:B51"/>
    <mergeCell ref="A45:B45"/>
    <mergeCell ref="A36:B36"/>
    <mergeCell ref="H4:I4"/>
    <mergeCell ref="A61:B61"/>
    <mergeCell ref="H9:I9"/>
    <mergeCell ref="F8:F18"/>
    <mergeCell ref="A54:B54"/>
    <mergeCell ref="H6:I6"/>
    <mergeCell ref="A41:B41"/>
    <mergeCell ref="A37:B37"/>
    <mergeCell ref="A46:B46"/>
    <mergeCell ref="A56:B56"/>
    <mergeCell ref="A55:B55"/>
    <mergeCell ref="A50:B50"/>
    <mergeCell ref="H1:W1"/>
    <mergeCell ref="H11:I11"/>
    <mergeCell ref="A2:B2"/>
    <mergeCell ref="A57:B57"/>
    <mergeCell ref="H7:I7"/>
    <mergeCell ref="A47:B47"/>
    <mergeCell ref="A42:B42"/>
    <mergeCell ref="A14:B14"/>
    <mergeCell ref="H16:W16"/>
    <mergeCell ref="A23:B23"/>
    <mergeCell ref="H13:I13"/>
    <mergeCell ref="A22:B22"/>
    <mergeCell ref="A53:B53"/>
    <mergeCell ref="H3:I3"/>
    <mergeCell ref="A35:B35"/>
    <mergeCell ref="A62:B62"/>
    <mergeCell ref="H12:I12"/>
    <mergeCell ref="A38:B38"/>
    <mergeCell ref="H8:I8"/>
    <mergeCell ref="A52:B52"/>
    <mergeCell ref="A43:B43"/>
    <mergeCell ref="E8:E18"/>
    <mergeCell ref="H5:I5"/>
    <mergeCell ref="A44:B44"/>
    <mergeCell ref="H14:I14"/>
    <mergeCell ref="H2:W2"/>
    <mergeCell ref="A58:B58"/>
    <mergeCell ref="A39:B39"/>
    <mergeCell ref="A34:B34"/>
    <mergeCell ref="A40:B4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X52"/>
  <sheetViews>
    <sheetView workbookViewId="0">
      <selection activeCell="A1" sqref="A1"/>
    </sheetView>
  </sheetViews>
  <sheetFormatPr baseColWidth="8" defaultRowHeight="15"/>
  <cols>
    <col width="40.86214285714286" bestFit="1" customWidth="1" style="159" min="1" max="1"/>
    <col width="34.57642857142857" bestFit="1" customWidth="1" style="160" min="2" max="2"/>
    <col width="1.576428571428571" bestFit="1" customWidth="1" style="161" min="3" max="3"/>
    <col width="5.147857142857143" bestFit="1" customWidth="1" style="159" min="4" max="4"/>
    <col width="5.147857142857143" bestFit="1" customWidth="1" style="159" min="5" max="5"/>
    <col width="5.147857142857143" bestFit="1" customWidth="1" style="159" min="6" max="6"/>
    <col width="5.147857142857143" bestFit="1" customWidth="1" style="159" min="7" max="7"/>
    <col width="29.005" bestFit="1" customWidth="1" style="159" min="8" max="8"/>
    <col width="21.005" bestFit="1" customWidth="1" style="162" min="9" max="9"/>
    <col width="21.005" bestFit="1" customWidth="1" style="162" min="10" max="10"/>
    <col width="16.71928571428571" bestFit="1" customWidth="1" style="162" min="11" max="11"/>
    <col width="15.57642857142857" bestFit="1" customWidth="1" style="160" min="12" max="12"/>
    <col width="15.57642857142857" bestFit="1" customWidth="1" style="160" min="13" max="13"/>
    <col width="15.57642857142857" bestFit="1" customWidth="1" style="160" min="14" max="14"/>
    <col width="15.57642857142857" bestFit="1" customWidth="1" style="160" min="15" max="15"/>
    <col width="15.57642857142857" bestFit="1" customWidth="1" style="160" min="16" max="16"/>
    <col width="15.57642857142857" bestFit="1" customWidth="1" style="160" min="17" max="17"/>
    <col width="15.57642857142857" bestFit="1" customWidth="1" style="160" min="18" max="18"/>
    <col width="15.57642857142857" bestFit="1" customWidth="1" style="160" min="19" max="19"/>
    <col width="15.57642857142857" bestFit="1" customWidth="1" style="160" min="20" max="20"/>
    <col width="15.57642857142857" bestFit="1" customWidth="1" style="160" min="21" max="21"/>
    <col width="15.57642857142857" bestFit="1" customWidth="1" style="160" min="22" max="22"/>
    <col width="34.86214285714286" bestFit="1" customWidth="1" style="165" min="23" max="23"/>
    <col hidden="1" width="12.43357142857143" bestFit="1" customWidth="1" style="167" min="24" max="24"/>
  </cols>
  <sheetData>
    <row r="1" ht="88.5" customHeight="1">
      <c r="A1" s="1" t="inlineStr">
        <is>
          <t xml:space="preserve">  </t>
        </is>
      </c>
      <c r="B1" s="2" t="n"/>
      <c r="C1" s="3" t="n"/>
      <c r="D1" s="159" t="n"/>
      <c r="E1" s="168" t="n"/>
      <c r="F1" s="159" t="n"/>
      <c r="G1" s="159" t="n"/>
      <c r="H1" s="5" t="n"/>
      <c r="X1" s="11" t="n"/>
    </row>
    <row r="2" ht="27.75" customHeight="1">
      <c r="A2" s="12" t="inlineStr">
        <is>
          <t>T O D A Y ' S   G O A L S</t>
        </is>
      </c>
      <c r="B2" s="370" t="n"/>
      <c r="C2" s="3" t="n"/>
      <c r="D2" s="159" t="n"/>
      <c r="E2" s="159" t="n"/>
      <c r="F2" s="159" t="n"/>
      <c r="G2" s="159" t="n"/>
      <c r="H2" s="14" t="inlineStr">
        <is>
          <t>H O U R L Y   S E G M E N T S</t>
        </is>
      </c>
      <c r="I2" s="361" t="n"/>
      <c r="J2" s="361" t="n"/>
      <c r="K2" s="361" t="n"/>
      <c r="L2" s="361" t="n"/>
      <c r="M2" s="361" t="n"/>
      <c r="N2" s="361" t="n"/>
      <c r="O2" s="361" t="n"/>
      <c r="P2" s="361" t="n"/>
      <c r="Q2" s="361" t="n"/>
      <c r="R2" s="361" t="n"/>
      <c r="S2" s="361" t="n"/>
      <c r="T2" s="361" t="n"/>
      <c r="U2" s="361" t="n"/>
      <c r="V2" s="361" t="n"/>
      <c r="W2" s="362" t="n"/>
      <c r="X2" s="19" t="n"/>
    </row>
    <row r="3" ht="27.75" customHeight="1">
      <c r="A3" s="20" t="inlineStr">
        <is>
          <t>DATE</t>
        </is>
      </c>
      <c r="B3" s="170" t="inlineStr">
        <is>
          <t>05.29.2025</t>
        </is>
      </c>
      <c r="C3" s="3" t="n"/>
      <c r="D3" s="159" t="n"/>
      <c r="E3" s="159" t="n"/>
      <c r="F3" s="159" t="n"/>
      <c r="G3" s="159" t="n"/>
      <c r="H3" s="23" t="inlineStr">
        <is>
          <t>HOURS OF OPERATIONS</t>
        </is>
      </c>
      <c r="I3" s="362" t="n"/>
      <c r="J3" s="249" t="n"/>
      <c r="K3" s="249" t="n"/>
      <c r="L3" s="25" t="inlineStr">
        <is>
          <t>10am - 11am</t>
        </is>
      </c>
      <c r="M3" s="25" t="inlineStr">
        <is>
          <t>11am - 12pm</t>
        </is>
      </c>
      <c r="N3" s="25" t="inlineStr">
        <is>
          <t>12pm - 1pm</t>
        </is>
      </c>
      <c r="O3" s="25" t="inlineStr">
        <is>
          <t>1pm - 2pm</t>
        </is>
      </c>
      <c r="P3" s="25" t="inlineStr">
        <is>
          <t>2pm - 3pm</t>
        </is>
      </c>
      <c r="Q3" s="25" t="inlineStr">
        <is>
          <t>3pm - 4pm</t>
        </is>
      </c>
      <c r="R3" s="25" t="inlineStr">
        <is>
          <t>4pm - 5pm</t>
        </is>
      </c>
      <c r="S3" s="25" t="inlineStr">
        <is>
          <t>5pm - 6pm</t>
        </is>
      </c>
      <c r="T3" s="25" t="inlineStr">
        <is>
          <t>6pm - 7pm</t>
        </is>
      </c>
      <c r="U3" s="25" t="inlineStr">
        <is>
          <t>7pm - 8pm</t>
        </is>
      </c>
      <c r="V3" s="25" t="inlineStr">
        <is>
          <t>8pm - 9pm</t>
        </is>
      </c>
      <c r="W3" s="27">
        <f>SUM(L4:V4)</f>
        <v/>
      </c>
      <c r="X3" s="19" t="n"/>
    </row>
    <row r="4" ht="27.75" customHeight="1">
      <c r="A4" s="30" t="inlineStr">
        <is>
          <t>DAY SALES TARGET</t>
        </is>
      </c>
      <c r="B4" s="31" t="n">
        <v>10883</v>
      </c>
      <c r="C4" s="32" t="n"/>
      <c r="D4" s="33" t="n"/>
      <c r="E4" s="33" t="n"/>
      <c r="F4" s="33" t="n"/>
      <c r="G4" s="33" t="n"/>
      <c r="H4" s="34" t="inlineStr">
        <is>
          <t>HOURLY SALES CONTRIBUTION %</t>
        </is>
      </c>
      <c r="I4" s="368" t="n"/>
      <c r="J4" s="250" t="n"/>
      <c r="K4" s="250" t="n"/>
      <c r="L4" s="36" t="n">
        <v>0.03</v>
      </c>
      <c r="M4" s="36" t="n">
        <v>0.06</v>
      </c>
      <c r="N4" s="36" t="n">
        <v>0.08</v>
      </c>
      <c r="O4" s="36" t="n">
        <v>0.09</v>
      </c>
      <c r="P4" s="36" t="n">
        <v>0.12</v>
      </c>
      <c r="Q4" s="36" t="n">
        <v>0.15</v>
      </c>
      <c r="R4" s="36" t="n">
        <v>0.15</v>
      </c>
      <c r="S4" s="36" t="n">
        <v>0.12</v>
      </c>
      <c r="T4" s="36" t="n">
        <v>0.09</v>
      </c>
      <c r="U4" s="36" t="n">
        <v>0.07000000000000001</v>
      </c>
      <c r="V4" s="36" t="n">
        <v>0.04</v>
      </c>
      <c r="W4" s="37" t="inlineStr">
        <is>
          <t>NOTES &amp; OBSERVATIONS
Complete throughout the day</t>
        </is>
      </c>
      <c r="X4" s="28" t="n"/>
    </row>
    <row r="5" ht="27.75" customHeight="1">
      <c r="A5" s="30" t="inlineStr">
        <is>
          <t>STRETCH TARGET</t>
        </is>
      </c>
      <c r="B5" s="31" t="n">
        <v>11000</v>
      </c>
      <c r="C5" s="3" t="n"/>
      <c r="D5" s="33" t="n"/>
      <c r="E5" s="33" t="n"/>
      <c r="F5" s="33" t="n"/>
      <c r="G5" s="33" t="n"/>
      <c r="H5" s="34" t="inlineStr">
        <is>
          <t>CUMULATIVE SALES TARGET</t>
        </is>
      </c>
      <c r="I5" s="368" t="n"/>
      <c r="J5" s="251" t="n"/>
      <c r="K5" s="251" t="n"/>
      <c r="L5" s="38">
        <f>SUM(L$4:L$4)*$B$4</f>
        <v/>
      </c>
      <c r="M5" s="38">
        <f>SUM(L4:M4)*$B$4</f>
        <v/>
      </c>
      <c r="N5" s="38">
        <f>SUM(L4:N4)*$B$4</f>
        <v/>
      </c>
      <c r="O5" s="38">
        <f>SUM(L4:O4)*$B$4</f>
        <v/>
      </c>
      <c r="P5" s="38">
        <f>SUM(L4:P4)*$B$4</f>
        <v/>
      </c>
      <c r="Q5" s="38">
        <f>SUM(L4:Q4)*$B$4</f>
        <v/>
      </c>
      <c r="R5" s="38">
        <f>SUM(L4:R4)*$B$4</f>
        <v/>
      </c>
      <c r="S5" s="38">
        <f>SUM(L4:S4)*$B$4</f>
        <v/>
      </c>
      <c r="T5" s="38">
        <f>SUM(L4:T4)*$B$4</f>
        <v/>
      </c>
      <c r="U5" s="38">
        <f>SUM(L4:U4)*$B$4</f>
        <v/>
      </c>
      <c r="V5" s="38">
        <f>SUM(L4:V4)*$B$4</f>
        <v/>
      </c>
      <c r="W5" s="39" t="n"/>
      <c r="X5" s="28" t="n"/>
    </row>
    <row r="6" ht="27.75" customHeight="1">
      <c r="A6" s="30" t="inlineStr">
        <is>
          <t>LAST YEAR SALES</t>
        </is>
      </c>
      <c r="B6" s="31" t="n">
        <v>9000</v>
      </c>
      <c r="C6" s="40">
        <f>B5/B4</f>
        <v/>
      </c>
      <c r="D6" s="43" t="inlineStr">
        <is>
          <t>LEARNING LAB: BEHAVIOURS &amp; OBSERVATIONS</t>
        </is>
      </c>
      <c r="E6" s="41" t="n"/>
      <c r="F6" s="41" t="n"/>
      <c r="G6" s="41" t="n"/>
      <c r="H6" s="34" t="inlineStr">
        <is>
          <t>CUMULATIVE STRETCH TARGET</t>
        </is>
      </c>
      <c r="I6" s="368" t="n"/>
      <c r="J6" s="251" t="n"/>
      <c r="K6" s="251" t="n"/>
      <c r="L6" s="38">
        <f>SUM(L4:L4)*$B$5</f>
        <v/>
      </c>
      <c r="M6" s="38">
        <f>SUM(L4:M4)*$B$5</f>
        <v/>
      </c>
      <c r="N6" s="38">
        <f>SUM(L4:N4)*$B$5</f>
        <v/>
      </c>
      <c r="O6" s="38">
        <f>SUM(L4:O4)*$B$5</f>
        <v/>
      </c>
      <c r="P6" s="38">
        <f>SUM(L4:P4)*$B$5</f>
        <v/>
      </c>
      <c r="Q6" s="38">
        <f>SUM(L4:Q4)*$B$5</f>
        <v/>
      </c>
      <c r="R6" s="38">
        <f>SUM(L4:R4)*$B$5</f>
        <v/>
      </c>
      <c r="S6" s="38">
        <f>SUM(L4:S4)*$B$5</f>
        <v/>
      </c>
      <c r="T6" s="38">
        <f>SUM(L4:T4)*$B$5</f>
        <v/>
      </c>
      <c r="U6" s="38">
        <f>SUM(L4:U4)*$B$5</f>
        <v/>
      </c>
      <c r="V6" s="38">
        <f>SUM(L4:V4)*$B$5</f>
        <v/>
      </c>
      <c r="W6" s="39" t="n"/>
      <c r="X6" s="28" t="n"/>
    </row>
    <row r="7" ht="27.75" customHeight="1">
      <c r="A7" s="30" t="inlineStr">
        <is>
          <t>LAST YEAR TRAFFIC</t>
        </is>
      </c>
      <c r="B7" s="42" t="n">
        <v>500</v>
      </c>
      <c r="C7" s="3" t="n"/>
      <c r="E7" s="33" t="n"/>
      <c r="F7" s="33" t="n"/>
      <c r="G7" s="33" t="n"/>
      <c r="H7" s="44" t="inlineStr">
        <is>
          <t>CUMULATIVE SALES ACTUAL</t>
        </is>
      </c>
      <c r="I7" s="368" t="n"/>
      <c r="J7" s="252" t="n"/>
      <c r="K7" s="252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171" t="n"/>
      <c r="W7" s="39" t="n"/>
      <c r="X7" s="28" t="n"/>
    </row>
    <row r="8" ht="27.75" customHeight="1">
      <c r="A8" s="30" t="inlineStr">
        <is>
          <t>CURRENT TRAFFIC TREND (+/-)</t>
        </is>
      </c>
      <c r="B8" s="46" t="n">
        <v>-0.1</v>
      </c>
      <c r="C8" s="3" t="n"/>
      <c r="E8" s="43" t="inlineStr">
        <is>
          <t>1ST BREAK TAKEN</t>
        </is>
      </c>
      <c r="F8" s="43" t="inlineStr">
        <is>
          <t>2ND BREAK TAKEN (IF APPLICABLE)</t>
        </is>
      </c>
      <c r="G8" s="43" t="inlineStr">
        <is>
          <t>OTHER: __________________________________</t>
        </is>
      </c>
      <c r="H8" s="44" t="inlineStr">
        <is>
          <t>TRAFFIC</t>
        </is>
      </c>
      <c r="I8" s="368" t="n"/>
      <c r="J8" s="252" t="n"/>
      <c r="K8" s="252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172" t="n"/>
      <c r="W8" s="39" t="n"/>
      <c r="X8" s="28" t="n"/>
    </row>
    <row r="9" ht="27.75" customHeight="1">
      <c r="A9" s="30" t="inlineStr">
        <is>
          <t>PROJECTED TRAFFIC</t>
        </is>
      </c>
      <c r="B9" s="48" t="n">
        <v>600</v>
      </c>
      <c r="C9" s="3" t="n"/>
      <c r="H9" s="44" t="inlineStr">
        <is>
          <t>TRANSACTIONS</t>
        </is>
      </c>
      <c r="I9" s="368" t="n"/>
      <c r="J9" s="253" t="n"/>
      <c r="K9" s="253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172" t="n"/>
      <c r="W9" s="39" t="n"/>
      <c r="X9" s="28" t="n"/>
    </row>
    <row r="10" ht="27.75" customHeight="1">
      <c r="A10" s="30" t="inlineStr">
        <is>
          <t>TRANSACTION GOAL</t>
        </is>
      </c>
      <c r="B10" s="48" t="n">
        <v>300</v>
      </c>
      <c r="C10" s="3" t="n"/>
      <c r="H10" s="44" t="inlineStr">
        <is>
          <t>CONVERSION</t>
        </is>
      </c>
      <c r="I10" s="368" t="n"/>
      <c r="J10" s="252" t="n"/>
      <c r="K10" s="252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173" t="n"/>
      <c r="W10" s="39" t="n"/>
      <c r="X10" s="28" t="n"/>
    </row>
    <row r="11" ht="27.75" customHeight="1">
      <c r="A11" s="30" t="inlineStr">
        <is>
          <t>CONVERSION TARGET</t>
        </is>
      </c>
      <c r="B11" s="46" t="n">
        <v>0.2</v>
      </c>
      <c r="C11" s="29" t="n"/>
      <c r="H11" s="44" t="inlineStr">
        <is>
          <t>UPT</t>
        </is>
      </c>
      <c r="I11" s="368" t="n"/>
      <c r="J11" s="252" t="n"/>
      <c r="K11" s="252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174" t="n"/>
      <c r="W11" s="51" t="n"/>
      <c r="X11" s="28" t="n"/>
    </row>
    <row r="12" ht="27.75" customHeight="1">
      <c r="A12" s="30" t="inlineStr">
        <is>
          <t>UPT</t>
        </is>
      </c>
      <c r="B12" s="52" t="n">
        <v>2.3</v>
      </c>
      <c r="C12" s="29" t="n"/>
      <c r="H12" s="44" t="inlineStr">
        <is>
          <t>ATV</t>
        </is>
      </c>
      <c r="I12" s="368" t="n"/>
      <c r="J12" s="252" t="n"/>
      <c r="K12" s="252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171" t="n"/>
      <c r="W12" s="51" t="n"/>
      <c r="X12" s="28" t="n"/>
    </row>
    <row r="13" ht="27.75" customHeight="1">
      <c r="A13" s="53" t="inlineStr">
        <is>
          <t>ATV</t>
        </is>
      </c>
      <c r="B13" s="54" t="n">
        <v>97</v>
      </c>
      <c r="C13" s="3" t="n"/>
      <c r="H13" s="44" t="inlineStr">
        <is>
          <t>OTHER: _________________</t>
        </is>
      </c>
      <c r="I13" s="368" t="n"/>
      <c r="J13" s="254" t="n"/>
      <c r="K13" s="254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171" t="n"/>
      <c r="W13" s="51" t="n"/>
      <c r="X13" s="56" t="n"/>
    </row>
    <row r="14" ht="27.75" customHeight="1">
      <c r="A14" s="57" t="inlineStr">
        <is>
          <t>M O N T H   T O   D A T E   P E R F O R M A N C E</t>
        </is>
      </c>
      <c r="B14" s="371" t="n"/>
      <c r="C14" s="3" t="n"/>
      <c r="H14" s="59" t="inlineStr">
        <is>
          <t>CEL SIGN-OFF (INITIALS)</t>
        </is>
      </c>
      <c r="I14" s="372" t="n"/>
      <c r="J14" s="255" t="n"/>
      <c r="K14" s="255" t="n"/>
      <c r="L14" s="61" t="n"/>
      <c r="M14" s="61" t="n"/>
      <c r="N14" s="61" t="n"/>
      <c r="O14" s="61" t="n"/>
      <c r="P14" s="61" t="n"/>
      <c r="Q14" s="61" t="n"/>
      <c r="R14" s="61" t="n"/>
      <c r="S14" s="61" t="n"/>
      <c r="T14" s="61" t="n"/>
      <c r="U14" s="61" t="n"/>
      <c r="V14" s="61" t="n"/>
      <c r="W14" s="62" t="n"/>
      <c r="X14" s="56" t="n"/>
    </row>
    <row r="15" ht="27.75" customHeight="1">
      <c r="A15" s="20" t="inlineStr">
        <is>
          <t>MONTH SALES PLAN</t>
        </is>
      </c>
      <c r="B15" s="63" t="n">
        <v>453745</v>
      </c>
      <c r="C15" s="3" t="n"/>
      <c r="H15" s="159" t="n"/>
      <c r="I15" s="64" t="n"/>
      <c r="J15" s="64" t="n"/>
      <c r="K15" s="64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  <c r="W15" s="67" t="n"/>
      <c r="X15" s="56" t="n"/>
    </row>
    <row r="16" ht="27.75" customHeight="1">
      <c r="A16" s="30" t="inlineStr">
        <is>
          <t>MONTH TO DATE SALES</t>
        </is>
      </c>
      <c r="B16" s="31" t="n"/>
      <c r="C16" s="3" t="n"/>
      <c r="H16" s="69" t="inlineStr">
        <is>
          <t>Z O N E   C H A R T</t>
        </is>
      </c>
      <c r="I16" s="373" t="n"/>
      <c r="J16" s="373" t="n"/>
      <c r="K16" s="373" t="n"/>
      <c r="L16" s="373" t="n"/>
      <c r="M16" s="373" t="n"/>
      <c r="N16" s="373" t="n"/>
      <c r="O16" s="373" t="n"/>
      <c r="P16" s="373" t="n"/>
      <c r="Q16" s="373" t="n"/>
      <c r="R16" s="373" t="n"/>
      <c r="S16" s="373" t="n"/>
      <c r="T16" s="373" t="n"/>
      <c r="U16" s="373" t="n"/>
      <c r="V16" s="373" t="n"/>
      <c r="W16" s="371" t="n"/>
      <c r="X16" s="56" t="n"/>
    </row>
    <row r="17" ht="27.75" customHeight="1">
      <c r="A17" s="30" t="inlineStr">
        <is>
          <t>% TO MONTH SALES PLAN</t>
        </is>
      </c>
      <c r="B17" s="205" t="n"/>
      <c r="C17" s="3" t="n"/>
      <c r="H17" s="177" t="inlineStr">
        <is>
          <t>Name</t>
        </is>
      </c>
      <c r="I17" s="75" t="inlineStr">
        <is>
          <t>Shift</t>
        </is>
      </c>
      <c r="J17" s="75" t="inlineStr">
        <is>
          <t>8am-9am</t>
        </is>
      </c>
      <c r="K17" s="75" t="inlineStr">
        <is>
          <t>9am-10am</t>
        </is>
      </c>
      <c r="L17" s="76">
        <f>L$3</f>
        <v/>
      </c>
      <c r="M17" s="76">
        <f>M$3</f>
        <v/>
      </c>
      <c r="N17" s="76">
        <f>N$3</f>
        <v/>
      </c>
      <c r="O17" s="76">
        <f>O$3</f>
        <v/>
      </c>
      <c r="P17" s="76">
        <f>P$3</f>
        <v/>
      </c>
      <c r="Q17" s="76">
        <f>Q$3</f>
        <v/>
      </c>
      <c r="R17" s="76">
        <f>R$3</f>
        <v/>
      </c>
      <c r="S17" s="76">
        <f>S$3</f>
        <v/>
      </c>
      <c r="T17" s="76">
        <f>T$3</f>
        <v/>
      </c>
      <c r="U17" s="76">
        <f>U$3</f>
        <v/>
      </c>
      <c r="V17" s="76">
        <f>V$3</f>
        <v/>
      </c>
      <c r="W17" s="79" t="inlineStr">
        <is>
          <t>Sales Target</t>
        </is>
      </c>
      <c r="X17" s="56" t="n"/>
    </row>
    <row r="18" ht="27.75" customHeight="1">
      <c r="A18" s="30" t="inlineStr">
        <is>
          <t>MONTH TO GO</t>
        </is>
      </c>
      <c r="B18" s="256" t="n"/>
      <c r="C18" s="3" t="n"/>
      <c r="H18" s="98" t="inlineStr">
        <is>
          <t>RICKY</t>
        </is>
      </c>
      <c r="I18" s="99" t="inlineStr">
        <is>
          <t>9-530</t>
        </is>
      </c>
      <c r="J18" s="210" t="n"/>
      <c r="K18" s="210" t="inlineStr">
        <is>
          <t>OFFICE</t>
        </is>
      </c>
      <c r="L18" s="179" t="inlineStr">
        <is>
          <t>CEL</t>
        </is>
      </c>
      <c r="M18" s="179" t="inlineStr">
        <is>
          <t>CEL</t>
        </is>
      </c>
      <c r="N18" s="179" t="inlineStr">
        <is>
          <t>MENS</t>
        </is>
      </c>
      <c r="O18" s="179" t="inlineStr">
        <is>
          <t>MENS</t>
        </is>
      </c>
      <c r="P18" s="179" t="inlineStr">
        <is>
          <t>CEL</t>
        </is>
      </c>
      <c r="Q18" s="179" t="inlineStr">
        <is>
          <t>CEL</t>
        </is>
      </c>
      <c r="R18" s="49" t="inlineStr">
        <is>
          <t>WOMENS</t>
        </is>
      </c>
      <c r="S18" s="45" t="n"/>
      <c r="T18" s="45" t="n"/>
      <c r="U18" s="45" t="n"/>
      <c r="V18" s="45" t="n"/>
      <c r="W18" s="89" t="n"/>
      <c r="X18" s="56" t="n"/>
    </row>
    <row r="19" hidden="1" ht="17.25" customHeight="1">
      <c r="A19" s="94" t="n"/>
      <c r="B19" s="257">
        <f>B15+B18</f>
        <v/>
      </c>
      <c r="C19" s="3" t="n"/>
      <c r="D19" s="96" t="n"/>
      <c r="E19" s="96" t="n"/>
      <c r="F19" s="96" t="n"/>
      <c r="G19" s="97" t="n"/>
      <c r="H19" s="98" t="inlineStr">
        <is>
          <t>NADEEN</t>
        </is>
      </c>
      <c r="I19" s="99" t="inlineStr">
        <is>
          <t>12-5</t>
        </is>
      </c>
      <c r="J19" s="129" t="n"/>
      <c r="K19" s="21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89" t="n"/>
      <c r="X19" s="56" t="n"/>
    </row>
    <row r="20" hidden="1" ht="17.25" customHeight="1">
      <c r="A20" s="100" t="n"/>
      <c r="B20" s="101" t="n">
        <v>1</v>
      </c>
      <c r="C20" s="3" t="n"/>
      <c r="D20" s="96" t="n"/>
      <c r="E20" s="96" t="n"/>
      <c r="F20" s="96" t="n"/>
      <c r="G20" s="97" t="n"/>
      <c r="H20" s="98" t="inlineStr">
        <is>
          <t>DARCY</t>
        </is>
      </c>
      <c r="I20" s="99" t="inlineStr">
        <is>
          <t>1-930</t>
        </is>
      </c>
      <c r="J20" s="129" t="n"/>
      <c r="K20" s="21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89" t="n"/>
      <c r="X20" s="56" t="n"/>
    </row>
    <row r="21" ht="27.75" customHeight="1">
      <c r="A21" s="100" t="n"/>
      <c r="B21" s="187" t="n"/>
      <c r="C21" s="3" t="n"/>
      <c r="D21" s="96" t="n"/>
      <c r="E21" s="96" t="n"/>
      <c r="F21" s="96" t="n"/>
      <c r="G21" s="97" t="n"/>
      <c r="H21" s="98" t="inlineStr">
        <is>
          <t>MIKAELA</t>
        </is>
      </c>
      <c r="I21" s="99" t="inlineStr">
        <is>
          <t>9-1:45</t>
        </is>
      </c>
      <c r="J21" s="210" t="n"/>
      <c r="K21" s="210" t="inlineStr">
        <is>
          <t>TASK</t>
        </is>
      </c>
      <c r="L21" s="125" t="n"/>
      <c r="M21" s="125" t="n"/>
      <c r="N21" s="125" t="n"/>
      <c r="O21" s="49" t="inlineStr">
        <is>
          <t>TASK</t>
        </is>
      </c>
      <c r="P21" s="45" t="n"/>
      <c r="Q21" s="45" t="n"/>
      <c r="R21" s="45" t="n"/>
      <c r="S21" s="45" t="n"/>
      <c r="T21" s="45" t="n"/>
      <c r="U21" s="45" t="n"/>
      <c r="V21" s="45" t="n"/>
      <c r="W21" s="89" t="n"/>
      <c r="X21" s="56" t="n"/>
    </row>
    <row r="22" ht="27.75" customHeight="1">
      <c r="A22" s="100" t="n"/>
      <c r="B22" s="187" t="n"/>
      <c r="C22" s="3" t="n"/>
      <c r="D22" s="96" t="n"/>
      <c r="E22" s="96" t="n"/>
      <c r="F22" s="96" t="n"/>
      <c r="G22" s="97" t="n"/>
      <c r="H22" s="98" t="inlineStr">
        <is>
          <t>TARAN</t>
        </is>
      </c>
      <c r="I22" s="99" t="inlineStr">
        <is>
          <t>10-630</t>
        </is>
      </c>
      <c r="J22" s="129" t="n"/>
      <c r="K22" s="210" t="n"/>
      <c r="L22" s="180" t="inlineStr">
        <is>
          <t>WOMENS</t>
        </is>
      </c>
      <c r="M22" s="180" t="inlineStr">
        <is>
          <t>WOMENS</t>
        </is>
      </c>
      <c r="N22" s="180" t="inlineStr">
        <is>
          <t>CEL</t>
        </is>
      </c>
      <c r="O22" s="180" t="inlineStr">
        <is>
          <t>CEL</t>
        </is>
      </c>
      <c r="P22" s="49" t="inlineStr">
        <is>
          <t>MENS</t>
        </is>
      </c>
      <c r="Q22" s="49" t="inlineStr">
        <is>
          <t>MENS</t>
        </is>
      </c>
      <c r="R22" s="258" t="inlineStr">
        <is>
          <t>CEL</t>
        </is>
      </c>
      <c r="S22" s="49" t="inlineStr">
        <is>
          <t>CEL</t>
        </is>
      </c>
      <c r="T22" s="45" t="n"/>
      <c r="U22" s="45" t="n"/>
      <c r="V22" s="45" t="n"/>
      <c r="W22" s="89" t="n"/>
      <c r="X22" s="56" t="n"/>
    </row>
    <row r="23" ht="27.75" customHeight="1">
      <c r="A23" s="100" t="n"/>
      <c r="B23" s="187" t="n"/>
      <c r="C23" s="3" t="n"/>
      <c r="D23" s="96" t="n"/>
      <c r="E23" s="96" t="n"/>
      <c r="F23" s="96" t="n"/>
      <c r="G23" s="97" t="n"/>
      <c r="H23" s="98" t="inlineStr">
        <is>
          <t>MICHAEL</t>
        </is>
      </c>
      <c r="I23" s="99" t="inlineStr">
        <is>
          <t>11:15-4</t>
        </is>
      </c>
      <c r="J23" s="129" t="n"/>
      <c r="K23" s="215" t="n"/>
      <c r="L23" s="45" t="n"/>
      <c r="M23" s="92" t="inlineStr">
        <is>
          <t>MENS</t>
        </is>
      </c>
      <c r="N23" s="104" t="n"/>
      <c r="O23" s="104" t="n"/>
      <c r="P23" s="92" t="inlineStr">
        <is>
          <t>CASH</t>
        </is>
      </c>
      <c r="Q23" s="49" t="inlineStr">
        <is>
          <t>CASH</t>
        </is>
      </c>
      <c r="R23" s="45" t="n"/>
      <c r="S23" s="45" t="n"/>
      <c r="T23" s="45" t="n"/>
      <c r="U23" s="45" t="n"/>
      <c r="V23" s="45" t="n"/>
      <c r="W23" s="89" t="n"/>
      <c r="X23" s="56" t="n"/>
    </row>
    <row r="24" ht="27.75" customHeight="1">
      <c r="A24" s="259" t="n"/>
      <c r="B24" s="260" t="n"/>
      <c r="C24" s="3" t="n"/>
      <c r="D24" s="96" t="n"/>
      <c r="E24" s="96" t="n"/>
      <c r="F24" s="96" t="n"/>
      <c r="G24" s="97" t="n"/>
      <c r="H24" s="98" t="inlineStr">
        <is>
          <t>EMILY</t>
        </is>
      </c>
      <c r="I24" s="99" t="inlineStr">
        <is>
          <t>12:15-5</t>
        </is>
      </c>
      <c r="J24" s="129" t="n"/>
      <c r="K24" s="215" t="n"/>
      <c r="L24" s="45" t="n"/>
      <c r="M24" s="45" t="n"/>
      <c r="N24" s="115" t="inlineStr">
        <is>
          <t>WOMENS</t>
        </is>
      </c>
      <c r="O24" s="91" t="inlineStr">
        <is>
          <t>WOMENS</t>
        </is>
      </c>
      <c r="P24" s="91" t="inlineStr">
        <is>
          <t>FITS</t>
        </is>
      </c>
      <c r="Q24" s="91" t="inlineStr">
        <is>
          <t>FITS</t>
        </is>
      </c>
      <c r="R24" s="91" t="inlineStr">
        <is>
          <t>CASH</t>
        </is>
      </c>
      <c r="S24" s="45" t="n"/>
      <c r="T24" s="45" t="n"/>
      <c r="U24" s="45" t="n"/>
      <c r="V24" s="45" t="n"/>
      <c r="W24" s="89" t="n"/>
      <c r="X24" s="127" t="n"/>
    </row>
    <row r="25" ht="27.75" customHeight="1">
      <c r="A25" s="159" t="n"/>
      <c r="B25" s="2" t="n"/>
      <c r="C25" s="3" t="n"/>
      <c r="D25" s="96" t="n"/>
      <c r="E25" s="96" t="n"/>
      <c r="F25" s="96" t="n"/>
      <c r="G25" s="97" t="n"/>
      <c r="H25" s="98" t="inlineStr">
        <is>
          <t>VOVA</t>
        </is>
      </c>
      <c r="I25" s="99" t="inlineStr">
        <is>
          <t>1-930</t>
        </is>
      </c>
      <c r="J25" s="129" t="n"/>
      <c r="K25" s="215" t="n"/>
      <c r="L25" s="45" t="n"/>
      <c r="M25" s="45" t="n"/>
      <c r="N25" s="45" t="n"/>
      <c r="O25" s="115" t="inlineStr">
        <is>
          <t>MENS</t>
        </is>
      </c>
      <c r="P25" s="115" t="inlineStr">
        <is>
          <t>MENS</t>
        </is>
      </c>
      <c r="Q25" s="115" t="inlineStr">
        <is>
          <t>MENS</t>
        </is>
      </c>
      <c r="R25" s="115" t="inlineStr">
        <is>
          <t>MENS</t>
        </is>
      </c>
      <c r="S25" s="49" t="inlineStr">
        <is>
          <t>FLEX</t>
        </is>
      </c>
      <c r="T25" s="86" t="inlineStr">
        <is>
          <t>CEL</t>
        </is>
      </c>
      <c r="U25" s="86" t="inlineStr">
        <is>
          <t>CEL</t>
        </is>
      </c>
      <c r="V25" s="86" t="inlineStr">
        <is>
          <t>CEL</t>
        </is>
      </c>
      <c r="W25" s="89" t="n"/>
      <c r="X25" s="127">
        <f>COUNTIF(#REF!,$R$51)+COUNTIF(#REF!,$S$51)+COUNTIF(#REF!,$M$51)+COUNTIF(#REF!,$N$51)+COUNTIF(#REF!,$O$51)+COUNTIF(#REF!,$P$51)+COUNTIF(#REF!,$Q$51)</f>
        <v/>
      </c>
    </row>
    <row r="26" ht="27.75" customHeight="1">
      <c r="A26" s="106" t="inlineStr">
        <is>
          <t>DENIM: 69.99 when you buy 2 or more</t>
        </is>
      </c>
      <c r="C26" s="3" t="n"/>
      <c r="D26" s="96" t="n"/>
      <c r="E26" s="96" t="n"/>
      <c r="F26" s="96" t="n"/>
      <c r="G26" s="97" t="n"/>
      <c r="H26" s="98" t="inlineStr">
        <is>
          <t>KAIYA</t>
        </is>
      </c>
      <c r="I26" s="99" t="inlineStr">
        <is>
          <t>2:15-7</t>
        </is>
      </c>
      <c r="J26" s="129" t="n"/>
      <c r="K26" s="215" t="n"/>
      <c r="L26" s="45" t="n"/>
      <c r="M26" s="45" t="n"/>
      <c r="N26" s="45" t="n"/>
      <c r="O26" s="45" t="n"/>
      <c r="P26" s="49" t="inlineStr">
        <is>
          <t>FITS</t>
        </is>
      </c>
      <c r="Q26" s="91" t="inlineStr">
        <is>
          <t>FITS</t>
        </is>
      </c>
      <c r="R26" s="91" t="inlineStr">
        <is>
          <t>WOMENS</t>
        </is>
      </c>
      <c r="S26" s="91" t="inlineStr">
        <is>
          <t>CASH</t>
        </is>
      </c>
      <c r="T26" s="91" t="inlineStr">
        <is>
          <t>CASH</t>
        </is>
      </c>
      <c r="U26" s="45" t="n"/>
      <c r="V26" s="45" t="n"/>
      <c r="W26" s="89" t="n"/>
      <c r="X26" s="127">
        <f>COUNTIF(#REF!,$R$51)+COUNTIF(#REF!,$S$51)+COUNTIF(#REF!,$M$51)+COUNTIF(#REF!,$N$51)+COUNTIF(#REF!,$O$51)+COUNTIF(#REF!,$P$51)+COUNTIF(#REF!,$Q$51)</f>
        <v/>
      </c>
    </row>
    <row r="27" ht="27.75" customHeight="1">
      <c r="A27" s="106" t="inlineStr">
        <is>
          <t xml:space="preserve">TOPS, OUTERWEAR, SHORTS: BOGO 50% </t>
        </is>
      </c>
      <c r="C27" s="3" t="n"/>
      <c r="D27" s="96" t="n"/>
      <c r="E27" s="96" t="n"/>
      <c r="F27" s="96" t="n"/>
      <c r="G27" s="97" t="n"/>
      <c r="H27" s="98" t="inlineStr">
        <is>
          <t>AVA W</t>
        </is>
      </c>
      <c r="I27" s="99" t="inlineStr">
        <is>
          <t>445-930</t>
        </is>
      </c>
      <c r="J27" s="129" t="n"/>
      <c r="K27" s="215" t="n"/>
      <c r="L27" s="45" t="n"/>
      <c r="M27" s="45" t="n"/>
      <c r="N27" s="45" t="n"/>
      <c r="O27" s="45" t="n"/>
      <c r="P27" s="45" t="n"/>
      <c r="Q27" s="45" t="n"/>
      <c r="R27" s="49" t="inlineStr">
        <is>
          <t>WOMENS</t>
        </is>
      </c>
      <c r="S27" s="93" t="n"/>
      <c r="T27" s="93" t="n"/>
      <c r="U27" s="93" t="n"/>
      <c r="V27" s="93" t="n"/>
      <c r="W27" s="189" t="n"/>
      <c r="X27" s="127">
        <f>COUNTIF(#REF!,$R$51)+COUNTIF(#REF!,$S$51)+COUNTIF(#REF!,$M$51)+COUNTIF(#REF!,$N$51)+COUNTIF(#REF!,$O$51)+COUNTIF(#REF!,$P$51)+COUNTIF(#REF!,$Q$51)</f>
        <v/>
      </c>
    </row>
    <row r="28" ht="27.75" customHeight="1">
      <c r="A28" s="106" t="inlineStr">
        <is>
          <t>Clearance additional 40% off</t>
        </is>
      </c>
      <c r="C28" s="3" t="n"/>
      <c r="D28" s="96" t="n"/>
      <c r="E28" s="96" t="n"/>
      <c r="F28" s="96" t="n"/>
      <c r="G28" s="97" t="n"/>
      <c r="H28" s="98" t="inlineStr">
        <is>
          <t>SIMER</t>
        </is>
      </c>
      <c r="I28" s="99" t="inlineStr">
        <is>
          <t>445-930</t>
        </is>
      </c>
      <c r="J28" s="129" t="n"/>
      <c r="K28" s="215" t="n"/>
      <c r="L28" s="45" t="n"/>
      <c r="M28" s="45" t="n"/>
      <c r="N28" s="45" t="n"/>
      <c r="O28" s="45" t="n"/>
      <c r="P28" s="45" t="n"/>
      <c r="Q28" s="45" t="n"/>
      <c r="R28" s="49" t="inlineStr">
        <is>
          <t>MENS</t>
        </is>
      </c>
      <c r="S28" s="104" t="n"/>
      <c r="T28" s="104" t="n"/>
      <c r="U28" s="104" t="n"/>
      <c r="V28" s="104" t="n"/>
      <c r="W28" s="89" t="n"/>
      <c r="X28" s="127">
        <f>COUNTIF(#REF!,$R$51)+COUNTIF(#REF!,$S$51)+COUNTIF(#REF!,$M$51)+COUNTIF(#REF!,$N$51)+COUNTIF(#REF!,$O$51)+COUNTIF(#REF!,$P$51)+COUNTIF(#REF!,$Q$51)</f>
        <v/>
      </c>
    </row>
    <row r="29" ht="27.75" customHeight="1">
      <c r="A29" s="261" t="n"/>
      <c r="B29" s="262" t="n"/>
      <c r="C29" s="3" t="n"/>
      <c r="D29" s="96" t="n"/>
      <c r="E29" s="96" t="n"/>
      <c r="F29" s="96" t="n"/>
      <c r="G29" s="97" t="n"/>
      <c r="H29" s="98" t="inlineStr">
        <is>
          <t>CATHERINE</t>
        </is>
      </c>
      <c r="I29" s="99" t="inlineStr">
        <is>
          <t>445-930</t>
        </is>
      </c>
      <c r="J29" s="129" t="n"/>
      <c r="K29" s="215" t="n"/>
      <c r="L29" s="45" t="n"/>
      <c r="M29" s="45" t="n"/>
      <c r="N29" s="45" t="n"/>
      <c r="O29" s="45" t="n"/>
      <c r="P29" s="45" t="n"/>
      <c r="Q29" s="45" t="n"/>
      <c r="R29" s="49" t="inlineStr">
        <is>
          <t>FITS</t>
        </is>
      </c>
      <c r="S29" s="115" t="inlineStr">
        <is>
          <t>FITS</t>
        </is>
      </c>
      <c r="T29" s="115" t="inlineStr">
        <is>
          <t>FITS</t>
        </is>
      </c>
      <c r="U29" s="108" t="n"/>
      <c r="V29" s="108" t="n"/>
      <c r="W29" s="89" t="n"/>
      <c r="X29" s="127">
        <f>COUNTIF(#REF!,$R$51)+COUNTIF(#REF!,$S$51)+COUNTIF(#REF!,$M$51)+COUNTIF(#REF!,$N$51)+COUNTIF(#REF!,$O$51)+COUNTIF(#REF!,$P$51)+COUNTIF(#REF!,$Q$51)</f>
        <v/>
      </c>
    </row>
    <row r="30" ht="27.75" customHeight="1">
      <c r="A30" s="186" t="inlineStr">
        <is>
          <t>Conversion is key! Aim to convert 1 of 4 consumers you service</t>
        </is>
      </c>
      <c r="C30" s="3" t="n"/>
      <c r="D30" s="96" t="n"/>
      <c r="E30" s="96" t="n"/>
      <c r="F30" s="96" t="n"/>
      <c r="G30" s="97" t="n"/>
      <c r="H30" s="98" t="inlineStr">
        <is>
          <t>LESLEY</t>
        </is>
      </c>
      <c r="I30" s="99" t="inlineStr">
        <is>
          <t>430-9</t>
        </is>
      </c>
      <c r="J30" s="129" t="n"/>
      <c r="K30" s="215" t="n"/>
      <c r="L30" s="45" t="n"/>
      <c r="M30" s="45" t="n"/>
      <c r="N30" s="45" t="n"/>
      <c r="O30" s="45" t="n"/>
      <c r="P30" s="45" t="n"/>
      <c r="Q30" s="45" t="n"/>
      <c r="R30" s="49" t="inlineStr">
        <is>
          <t>SHIPMENT</t>
        </is>
      </c>
      <c r="S30" s="241" t="n"/>
      <c r="T30" s="241" t="n"/>
      <c r="U30" s="241" t="n"/>
      <c r="V30" s="241" t="n"/>
      <c r="W30" s="89" t="n"/>
      <c r="X30" s="127">
        <f>COUNTIF(L32:V32,$R$51)+COUNTIF(L32:V32,$S$51)+COUNTIF(L32:V32,$M$51)+COUNTIF(L32:V32,$N$51)+COUNTIF(L32:V32,$O$51)+COUNTIF(L32:V32,$P$51)+COUNTIF(L32:V32,$Q$51)</f>
        <v/>
      </c>
    </row>
    <row r="31" ht="27.75" customHeight="1">
      <c r="A31" s="186" t="inlineStr">
        <is>
          <t>Maximize on the fitting room experience to drive ATV and UPT</t>
        </is>
      </c>
      <c r="C31" s="124" t="n"/>
      <c r="D31" s="96" t="n"/>
      <c r="E31" s="96" t="n"/>
      <c r="F31" s="96" t="n"/>
      <c r="G31" s="97" t="n"/>
      <c r="H31" s="98" t="inlineStr">
        <is>
          <t>ELLA</t>
        </is>
      </c>
      <c r="I31" s="99" t="inlineStr">
        <is>
          <t>430-9</t>
        </is>
      </c>
      <c r="J31" s="129" t="n"/>
      <c r="K31" s="215" t="n"/>
      <c r="L31" s="45" t="n"/>
      <c r="M31" s="45" t="n"/>
      <c r="N31" s="45" t="n"/>
      <c r="O31" s="45" t="n"/>
      <c r="P31" s="45" t="n"/>
      <c r="Q31" s="45" t="n"/>
      <c r="R31" s="49" t="inlineStr">
        <is>
          <t>SHIPMENT</t>
        </is>
      </c>
      <c r="S31" s="241" t="n"/>
      <c r="T31" s="241" t="n"/>
      <c r="U31" s="241" t="n"/>
      <c r="V31" s="241" t="n"/>
      <c r="W31" s="89" t="n"/>
      <c r="X31" s="127">
        <f>COUNTIF(#REF!,$R$51)+COUNTIF(#REF!,$S$51)+COUNTIF(#REF!,$M$51)+COUNTIF(#REF!,$N$51)+COUNTIF(#REF!,$O$51)+COUNTIF(#REF!,$P$51)+COUNTIF(#REF!,$Q$51)</f>
        <v/>
      </c>
    </row>
    <row r="32" ht="27.75" customHeight="1">
      <c r="A32" s="186" t="inlineStr">
        <is>
          <t>Gift giving ideas/suggestions are a must at this time!</t>
        </is>
      </c>
      <c r="C32" s="124" t="n"/>
      <c r="D32" s="96" t="n"/>
      <c r="E32" s="96" t="n"/>
      <c r="F32" s="96" t="n"/>
      <c r="G32" s="97" t="n"/>
      <c r="H32" s="98" t="n"/>
      <c r="I32" s="129" t="n"/>
      <c r="J32" s="129" t="n"/>
      <c r="K32" s="129" t="n"/>
      <c r="L32" s="119" t="n"/>
      <c r="M32" s="119" t="n"/>
      <c r="N32" s="119" t="n"/>
      <c r="O32" s="119" t="n"/>
      <c r="P32" s="119" t="n"/>
      <c r="Q32" s="119" t="n"/>
      <c r="R32" s="119" t="n"/>
      <c r="S32" s="119" t="n"/>
      <c r="T32" s="119" t="n"/>
      <c r="U32" s="119" t="n"/>
      <c r="V32" s="119" t="n"/>
      <c r="W32" s="89" t="n"/>
      <c r="X32" s="127">
        <f>COUNTIF(#REF!,$R$51)+COUNTIF(#REF!,$S$51)+COUNTIF(#REF!,$M$51)+COUNTIF(#REF!,$N$51)+COUNTIF(#REF!,$O$51)+COUNTIF(#REF!,$P$51)+COUNTIF(#REF!,$Q$51)</f>
        <v/>
      </c>
    </row>
    <row r="33" ht="27.75" customHeight="1">
      <c r="A33" s="186" t="n"/>
      <c r="C33" s="124" t="n"/>
      <c r="D33" s="96" t="n"/>
      <c r="E33" s="96" t="n"/>
      <c r="F33" s="96" t="n"/>
      <c r="G33" s="97" t="n"/>
      <c r="H33" s="98" t="n"/>
      <c r="I33" s="129" t="n"/>
      <c r="J33" s="129" t="n"/>
      <c r="K33" s="129" t="n"/>
      <c r="L33" s="119" t="n"/>
      <c r="M33" s="119" t="n"/>
      <c r="N33" s="119" t="n"/>
      <c r="O33" s="119" t="n"/>
      <c r="P33" s="119" t="n"/>
      <c r="Q33" s="119" t="n"/>
      <c r="R33" s="119" t="n"/>
      <c r="S33" s="119" t="n"/>
      <c r="T33" s="119" t="n"/>
      <c r="U33" s="119" t="n"/>
      <c r="V33" s="119" t="n"/>
      <c r="W33" s="89" t="n"/>
      <c r="X33" s="127">
        <f>COUNTIF(L34:V34,$R$51)+COUNTIF(L34:V34,$S$51)+COUNTIF(L34:V34,$M$51)+COUNTIF(L34:V34,$N$51)+COUNTIF(L34:V34,$O$51)+COUNTIF(L34:V34,$P$51)+COUNTIF(L34:V34,$Q$51)</f>
        <v/>
      </c>
    </row>
    <row r="34" ht="27.75" customHeight="1">
      <c r="A34" s="263" t="inlineStr">
        <is>
          <t>BRAND ENVIRONMENT</t>
        </is>
      </c>
      <c r="C34" s="124" t="n"/>
      <c r="D34" s="96" t="n"/>
      <c r="E34" s="96" t="n"/>
      <c r="F34" s="96" t="n"/>
      <c r="G34" s="97" t="n"/>
      <c r="H34" s="98" t="n"/>
      <c r="I34" s="129" t="n"/>
      <c r="J34" s="129" t="n"/>
      <c r="K34" s="129" t="n"/>
      <c r="L34" s="119" t="n"/>
      <c r="M34" s="119" t="n"/>
      <c r="N34" s="119" t="n"/>
      <c r="O34" s="119" t="n"/>
      <c r="P34" s="119" t="n"/>
      <c r="Q34" s="119" t="n"/>
      <c r="R34" s="119" t="n"/>
      <c r="S34" s="119" t="n"/>
      <c r="T34" s="119" t="n"/>
      <c r="U34" s="119" t="n"/>
      <c r="V34" s="119" t="n"/>
      <c r="W34" s="89" t="n"/>
      <c r="X34" s="127">
        <f>COUNTIF(L35:V35,$R$51)+COUNTIF(L35:V35,$S$51)+COUNTIF(L35:V35,$M$51)+COUNTIF(L35:V35,$N$51)+COUNTIF(L35:V35,$O$51)+COUNTIF(L35:V35,$P$51)+COUNTIF(L35:V35,$Q$51)</f>
        <v/>
      </c>
    </row>
    <row r="35" ht="27.75" customHeight="1">
      <c r="A35" s="186" t="n"/>
      <c r="C35" s="124" t="n"/>
      <c r="D35" s="96" t="n"/>
      <c r="E35" s="96" t="n"/>
      <c r="F35" s="96" t="n"/>
      <c r="G35" s="97" t="n"/>
      <c r="H35" s="98" t="n"/>
      <c r="I35" s="129" t="n"/>
      <c r="J35" s="129" t="n"/>
      <c r="K35" s="129" t="n"/>
      <c r="L35" s="119" t="n"/>
      <c r="M35" s="119" t="n"/>
      <c r="N35" s="119" t="n"/>
      <c r="O35" s="119" t="n"/>
      <c r="P35" s="119" t="n"/>
      <c r="Q35" s="119" t="n"/>
      <c r="R35" s="119" t="n"/>
      <c r="S35" s="119" t="n"/>
      <c r="T35" s="119" t="n"/>
      <c r="U35" s="119" t="n"/>
      <c r="V35" s="119" t="n"/>
      <c r="W35" s="89" t="n"/>
      <c r="X35" s="127">
        <f>COUNTIF(L36:V36,$R$51)+COUNTIF(L36:V36,$S$51)+COUNTIF(L36:V36,$M$51)+COUNTIF(L36:V36,$N$51)+COUNTIF(L36:V36,$O$51)+COUNTIF(L36:V36,$P$51)+COUNTIF(L36:V36,$Q$51)</f>
        <v/>
      </c>
    </row>
    <row r="36" ht="27.75" customHeight="1">
      <c r="A36" s="186" t="n"/>
      <c r="C36" s="124" t="n"/>
      <c r="D36" s="96" t="n"/>
      <c r="E36" s="96" t="n"/>
      <c r="F36" s="96" t="n"/>
      <c r="G36" s="97" t="n"/>
      <c r="H36" s="98" t="n"/>
      <c r="I36" s="129" t="n"/>
      <c r="J36" s="129" t="n"/>
      <c r="K36" s="129" t="n"/>
      <c r="L36" s="119" t="n"/>
      <c r="M36" s="119" t="n"/>
      <c r="N36" s="119" t="n"/>
      <c r="O36" s="119" t="n"/>
      <c r="P36" s="119" t="n"/>
      <c r="Q36" s="119" t="n"/>
      <c r="R36" s="119" t="n"/>
      <c r="S36" s="119" t="n"/>
      <c r="T36" s="119" t="n"/>
      <c r="U36" s="119" t="n"/>
      <c r="V36" s="119" t="n"/>
      <c r="W36" s="89" t="n"/>
      <c r="X36" s="127">
        <f>COUNTIF(L37:V37,$R$51)+COUNTIF(L37:V37,$S$51)+COUNTIF(L37:V37,$M$51)+COUNTIF(L37:V37,$N$51)+COUNTIF(L37:V37,$O$51)+COUNTIF(L37:V37,$P$51)+COUNTIF(L37:V37,$Q$51)</f>
        <v/>
      </c>
    </row>
    <row r="37" ht="27.75" customHeight="1">
      <c r="A37" s="263" t="inlineStr">
        <is>
          <t>HEALTHY &amp; SAFETY</t>
        </is>
      </c>
      <c r="C37" s="124" t="n"/>
      <c r="D37" s="96" t="n"/>
      <c r="E37" s="96" t="n"/>
      <c r="F37" s="96" t="n"/>
      <c r="G37" s="97" t="n"/>
      <c r="H37" s="98" t="n"/>
      <c r="I37" s="129" t="n"/>
      <c r="J37" s="129" t="n"/>
      <c r="K37" s="129" t="n"/>
      <c r="L37" s="119" t="n"/>
      <c r="M37" s="119" t="n"/>
      <c r="N37" s="119" t="n"/>
      <c r="O37" s="119" t="n"/>
      <c r="P37" s="119" t="n"/>
      <c r="Q37" s="119" t="n"/>
      <c r="R37" s="119" t="n"/>
      <c r="S37" s="119" t="n"/>
      <c r="T37" s="119" t="n"/>
      <c r="U37" s="119" t="n"/>
      <c r="V37" s="119" t="n"/>
      <c r="W37" s="89" t="n"/>
      <c r="X37" s="127">
        <f>COUNTIF(L38:V38,$R$51)+COUNTIF(L38:V38,$S$51)+COUNTIF(L38:V38,$M$51)+COUNTIF(L38:V38,$N$51)+COUNTIF(L38:V38,$O$51)+COUNTIF(L38:V38,$P$51)+COUNTIF(L38:V38,$Q$51)</f>
        <v/>
      </c>
    </row>
    <row r="38" ht="27.75" customHeight="1">
      <c r="A38" s="186" t="n"/>
      <c r="C38" s="124" t="n"/>
      <c r="D38" s="96" t="n"/>
      <c r="E38" s="96" t="n"/>
      <c r="F38" s="96" t="n"/>
      <c r="G38" s="97" t="n"/>
      <c r="H38" s="98" t="n"/>
      <c r="I38" s="129" t="n"/>
      <c r="J38" s="129" t="n"/>
      <c r="K38" s="129" t="n"/>
      <c r="L38" s="119" t="n"/>
      <c r="M38" s="119" t="n"/>
      <c r="N38" s="119" t="n"/>
      <c r="O38" s="119" t="n"/>
      <c r="P38" s="119" t="n"/>
      <c r="Q38" s="119" t="n"/>
      <c r="R38" s="119" t="n"/>
      <c r="S38" s="119" t="n"/>
      <c r="T38" s="119" t="n"/>
      <c r="U38" s="119" t="n"/>
      <c r="V38" s="119" t="n"/>
      <c r="W38" s="89" t="n"/>
      <c r="X38" s="127">
        <f>COUNTIF(L39:V39,$R$51)+COUNTIF(L39:V39,$S$51)+COUNTIF(L39:V39,$M$51)+COUNTIF(L39:V39,$N$51)+COUNTIF(L39:V39,$O$51)+COUNTIF(L39:V39,$P$51)+COUNTIF(L39:V39,$Q$51)</f>
        <v/>
      </c>
    </row>
    <row r="39" ht="27.75" customHeight="1">
      <c r="A39" s="186" t="n"/>
      <c r="C39" s="124" t="n"/>
      <c r="D39" s="96" t="n"/>
      <c r="E39" s="96" t="n"/>
      <c r="F39" s="96" t="n"/>
      <c r="G39" s="97" t="n"/>
      <c r="H39" s="98" t="n"/>
      <c r="I39" s="129" t="n"/>
      <c r="J39" s="129" t="n"/>
      <c r="K39" s="129" t="n"/>
      <c r="L39" s="119" t="n"/>
      <c r="M39" s="119" t="n"/>
      <c r="N39" s="119" t="n"/>
      <c r="O39" s="119" t="n"/>
      <c r="P39" s="119" t="n"/>
      <c r="Q39" s="119" t="n"/>
      <c r="R39" s="119" t="n"/>
      <c r="S39" s="119" t="n"/>
      <c r="T39" s="119" t="n"/>
      <c r="U39" s="119" t="n"/>
      <c r="V39" s="119" t="n"/>
      <c r="W39" s="89" t="n"/>
      <c r="X39" s="127">
        <f>COUNTIF(L40:V40,$R$51)+COUNTIF(L40:V40,$S$51)+COUNTIF(L40:V40,$M$51)+COUNTIF(L40:V40,$N$51)+COUNTIF(L40:V40,$O$51)+COUNTIF(L40:V40,$P$51)+COUNTIF(L40:V40,$Q$51)</f>
        <v/>
      </c>
    </row>
    <row r="40" ht="27.75" customHeight="1">
      <c r="A40" s="263" t="inlineStr">
        <is>
          <t>LOSS PREVENTION</t>
        </is>
      </c>
      <c r="C40" s="124" t="n"/>
      <c r="D40" s="96" t="n"/>
      <c r="E40" s="96" t="n"/>
      <c r="F40" s="96" t="n"/>
      <c r="G40" s="97" t="n"/>
      <c r="H40" s="98" t="n"/>
      <c r="I40" s="129" t="n"/>
      <c r="J40" s="129" t="n"/>
      <c r="K40" s="129" t="n"/>
      <c r="L40" s="119" t="n"/>
      <c r="M40" s="119" t="n"/>
      <c r="N40" s="119" t="n"/>
      <c r="O40" s="119" t="n"/>
      <c r="P40" s="119" t="n"/>
      <c r="Q40" s="119" t="n"/>
      <c r="R40" s="119" t="n"/>
      <c r="S40" s="119" t="n"/>
      <c r="T40" s="119" t="n"/>
      <c r="U40" s="119" t="n"/>
      <c r="V40" s="119" t="n"/>
      <c r="W40" s="89" t="n"/>
      <c r="X40" s="127">
        <f>COUNTIF(L41:V41,$R$51)+COUNTIF(L41:V41,$S$51)+COUNTIF(L41:V41,$M$51)+COUNTIF(L41:V41,$N$51)+COUNTIF(L41:V41,$O$51)+COUNTIF(L41:V41,$P$51)+COUNTIF(L41:V41,$Q$51)</f>
        <v/>
      </c>
    </row>
    <row r="41" ht="27.75" customHeight="1">
      <c r="A41" s="186" t="n"/>
      <c r="C41" s="124" t="n"/>
      <c r="D41" s="96" t="n"/>
      <c r="E41" s="96" t="n"/>
      <c r="F41" s="96" t="n"/>
      <c r="G41" s="97" t="n"/>
      <c r="H41" s="98" t="n"/>
      <c r="I41" s="129" t="n"/>
      <c r="J41" s="129" t="n"/>
      <c r="K41" s="129" t="n"/>
      <c r="L41" s="119" t="n"/>
      <c r="M41" s="119" t="n"/>
      <c r="N41" s="119" t="n"/>
      <c r="O41" s="119" t="n"/>
      <c r="P41" s="119" t="n"/>
      <c r="Q41" s="119" t="n"/>
      <c r="R41" s="119" t="n"/>
      <c r="S41" s="119" t="n"/>
      <c r="T41" s="119" t="n"/>
      <c r="U41" s="119" t="n"/>
      <c r="V41" s="119" t="n"/>
      <c r="W41" s="89" t="n"/>
      <c r="X41" s="127">
        <f>COUNTIF(L42:V42,$R$51)+COUNTIF(L42:V42,$S$51)+COUNTIF(L42:V42,$M$51)+COUNTIF(L42:V42,$N$51)+COUNTIF(L42:V42,$O$51)+COUNTIF(L42:V42,$P$51)+COUNTIF(L42:V42,$Q$51)</f>
        <v/>
      </c>
    </row>
    <row r="42" ht="27.75" customHeight="1">
      <c r="A42" s="186" t="n"/>
      <c r="C42" s="124" t="n"/>
      <c r="D42" s="96" t="n"/>
      <c r="E42" s="96" t="n"/>
      <c r="F42" s="96" t="n"/>
      <c r="G42" s="97" t="n"/>
      <c r="H42" s="98" t="n"/>
      <c r="I42" s="129" t="n"/>
      <c r="J42" s="129" t="n"/>
      <c r="K42" s="129" t="n"/>
      <c r="L42" s="119" t="n"/>
      <c r="M42" s="119" t="n"/>
      <c r="N42" s="119" t="n"/>
      <c r="O42" s="119" t="n"/>
      <c r="P42" s="119" t="n"/>
      <c r="Q42" s="119" t="n"/>
      <c r="R42" s="119" t="n"/>
      <c r="S42" s="119" t="n"/>
      <c r="T42" s="119" t="n"/>
      <c r="U42" s="119" t="n"/>
      <c r="V42" s="119" t="n"/>
      <c r="W42" s="89" t="n"/>
      <c r="X42" s="127">
        <f>COUNTIF(#REF!,$R$51)+COUNTIF(#REF!,$S$51)+COUNTIF(#REF!,$M$51)+COUNTIF(#REF!,$N$51)+COUNTIF(#REF!,$O$51)+COUNTIF(#REF!,$P$51)+COUNTIF(#REF!,$Q$51)</f>
        <v/>
      </c>
    </row>
    <row r="43" ht="27.75" customHeight="1">
      <c r="A43" s="263" t="inlineStr">
        <is>
          <t>MARKETING</t>
        </is>
      </c>
      <c r="C43" s="124" t="n"/>
      <c r="D43" s="96" t="n"/>
      <c r="E43" s="96" t="n"/>
      <c r="F43" s="96" t="n"/>
      <c r="G43" s="97" t="n"/>
      <c r="H43" s="98" t="n"/>
      <c r="I43" s="129" t="n"/>
      <c r="J43" s="129" t="n"/>
      <c r="K43" s="129" t="n"/>
      <c r="L43" s="119" t="n"/>
      <c r="M43" s="119" t="n"/>
      <c r="N43" s="119" t="n"/>
      <c r="O43" s="119" t="n"/>
      <c r="P43" s="119" t="n"/>
      <c r="Q43" s="119" t="n"/>
      <c r="R43" s="119" t="n"/>
      <c r="S43" s="119" t="n"/>
      <c r="T43" s="119" t="n"/>
      <c r="U43" s="119" t="n"/>
      <c r="V43" s="119" t="n"/>
      <c r="W43" s="89" t="n"/>
      <c r="X43" s="127" t="n"/>
    </row>
    <row r="44" ht="27.75" customHeight="1">
      <c r="A44" s="186" t="n"/>
      <c r="C44" s="124" t="n"/>
      <c r="D44" s="96" t="n"/>
      <c r="E44" s="96" t="n"/>
      <c r="F44" s="96" t="n"/>
      <c r="G44" s="97" t="n"/>
      <c r="H44" s="98" t="n"/>
      <c r="I44" s="129" t="n"/>
      <c r="J44" s="129" t="n"/>
      <c r="K44" s="129" t="n"/>
      <c r="L44" s="119" t="n"/>
      <c r="M44" s="119" t="n"/>
      <c r="N44" s="119" t="n"/>
      <c r="O44" s="119" t="n"/>
      <c r="P44" s="119" t="n"/>
      <c r="Q44" s="119" t="n"/>
      <c r="R44" s="119" t="n"/>
      <c r="S44" s="119" t="n"/>
      <c r="T44" s="119" t="n"/>
      <c r="U44" s="119" t="n"/>
      <c r="V44" s="119" t="n"/>
      <c r="W44" s="89" t="n"/>
      <c r="X44" s="131" t="n"/>
    </row>
    <row r="45" ht="27.75" customHeight="1">
      <c r="A45" s="186" t="n"/>
      <c r="C45" s="124" t="n"/>
      <c r="D45" s="96" t="n"/>
      <c r="E45" s="96" t="n"/>
      <c r="F45" s="96" t="n"/>
      <c r="G45" s="97" t="n"/>
      <c r="H45" s="98" t="n"/>
      <c r="I45" s="129" t="n"/>
      <c r="J45" s="129" t="n"/>
      <c r="K45" s="129" t="n"/>
      <c r="L45" s="119" t="n"/>
      <c r="M45" s="119" t="n"/>
      <c r="N45" s="119" t="n"/>
      <c r="O45" s="119" t="n"/>
      <c r="P45" s="119" t="n"/>
      <c r="Q45" s="119" t="n"/>
      <c r="R45" s="119" t="n"/>
      <c r="S45" s="119" t="n"/>
      <c r="T45" s="119" t="n"/>
      <c r="U45" s="119" t="n"/>
      <c r="V45" s="119" t="n"/>
      <c r="W45" s="89" t="n"/>
      <c r="X45" s="134" t="n"/>
    </row>
    <row r="46" ht="27.75" customHeight="1">
      <c r="A46" s="263" t="inlineStr">
        <is>
          <t>OTHER</t>
        </is>
      </c>
      <c r="C46" s="124" t="n"/>
      <c r="D46" s="96" t="n"/>
      <c r="E46" s="96" t="n"/>
      <c r="F46" s="96" t="n"/>
      <c r="G46" s="97" t="n"/>
      <c r="H46" s="98" t="n"/>
      <c r="I46" s="129" t="n"/>
      <c r="J46" s="129" t="n"/>
      <c r="K46" s="129" t="n"/>
      <c r="L46" s="119" t="n"/>
      <c r="M46" s="119" t="n"/>
      <c r="N46" s="119" t="n"/>
      <c r="O46" s="119" t="n"/>
      <c r="P46" s="119" t="n"/>
      <c r="Q46" s="119" t="n"/>
      <c r="R46" s="119" t="n"/>
      <c r="S46" s="119" t="n"/>
      <c r="T46" s="119" t="n"/>
      <c r="U46" s="119" t="n"/>
      <c r="V46" s="119" t="n"/>
      <c r="W46" s="89" t="n"/>
      <c r="X46" s="134" t="n"/>
    </row>
    <row r="47" ht="27.75" customHeight="1">
      <c r="A47" s="186" t="n"/>
      <c r="C47" s="124" t="n"/>
      <c r="D47" s="96" t="n"/>
      <c r="E47" s="96" t="n"/>
      <c r="F47" s="96" t="n"/>
      <c r="G47" s="97" t="n"/>
      <c r="H47" s="132" t="n"/>
      <c r="I47" s="136" t="n"/>
      <c r="J47" s="136" t="n"/>
      <c r="K47" s="136" t="n"/>
      <c r="L47" s="141" t="n"/>
      <c r="M47" s="141" t="n"/>
      <c r="N47" s="141" t="n"/>
      <c r="O47" s="141" t="n"/>
      <c r="P47" s="141" t="n"/>
      <c r="Q47" s="141" t="n"/>
      <c r="R47" s="141" t="n"/>
      <c r="S47" s="141" t="n"/>
      <c r="T47" s="141" t="n"/>
      <c r="U47" s="141" t="n"/>
      <c r="V47" s="141" t="n"/>
      <c r="W47" s="89" t="n"/>
      <c r="X47" s="134" t="n"/>
    </row>
    <row r="48" ht="27.75" customHeight="1">
      <c r="A48" s="264" t="n"/>
      <c r="B48" s="375" t="n"/>
      <c r="C48" s="124" t="n"/>
      <c r="D48" s="96" t="n"/>
      <c r="E48" s="96" t="n"/>
      <c r="F48" s="96" t="n"/>
      <c r="G48" s="97" t="n"/>
      <c r="H48" s="135" t="n"/>
      <c r="I48" s="137" t="n"/>
      <c r="J48" s="137" t="n"/>
      <c r="K48" s="137" t="n"/>
      <c r="L48" s="148" t="n"/>
      <c r="M48" s="148" t="n"/>
      <c r="N48" s="148" t="n"/>
      <c r="O48" s="148" t="n"/>
      <c r="P48" s="148" t="n"/>
      <c r="Q48" s="148" t="n"/>
      <c r="R48" s="148" t="n"/>
      <c r="S48" s="148" t="n"/>
      <c r="T48" s="148" t="n"/>
      <c r="U48" s="148" t="n"/>
      <c r="V48" s="148" t="n"/>
      <c r="W48" s="89" t="n"/>
      <c r="X48" s="134" t="n"/>
    </row>
    <row r="49" ht="26.25" customHeight="1">
      <c r="A49" s="145" t="n"/>
      <c r="B49" s="146" t="n"/>
      <c r="C49" s="124" t="n"/>
      <c r="D49" s="147" t="n"/>
      <c r="E49" s="147" t="n"/>
      <c r="F49" s="147" t="n"/>
      <c r="G49" s="147" t="n"/>
      <c r="H49" s="135" t="n"/>
      <c r="I49" s="137" t="n"/>
      <c r="J49" s="137" t="n"/>
      <c r="K49" s="137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48" t="n"/>
      <c r="V49" s="148" t="n"/>
      <c r="W49" s="144" t="n"/>
      <c r="X49" s="134" t="n"/>
    </row>
    <row r="50" ht="26.25" customHeight="1">
      <c r="A50" s="145" t="n"/>
      <c r="B50" s="146" t="n"/>
      <c r="C50" s="124" t="n"/>
      <c r="D50" s="147" t="n"/>
      <c r="E50" s="147" t="n"/>
      <c r="F50" s="147" t="n"/>
      <c r="G50" s="147" t="n"/>
      <c r="H50" s="135" t="n"/>
      <c r="I50" s="137" t="n"/>
      <c r="J50" s="137" t="n"/>
      <c r="K50" s="137" t="n"/>
      <c r="L50" s="148" t="n"/>
      <c r="M50" s="148" t="n"/>
      <c r="N50" s="148" t="n"/>
      <c r="O50" s="148" t="n"/>
      <c r="P50" s="148" t="n"/>
      <c r="Q50" s="148" t="n"/>
      <c r="R50" s="148" t="n"/>
      <c r="S50" s="148" t="n"/>
      <c r="T50" s="148" t="n"/>
      <c r="U50" s="148" t="n"/>
      <c r="V50" s="148" t="n"/>
      <c r="W50" s="151" t="n"/>
      <c r="X50" s="134" t="n"/>
    </row>
    <row r="51" ht="26.25" customHeight="1">
      <c r="A51" s="145" t="n"/>
      <c r="B51" s="146" t="n"/>
      <c r="C51" s="124" t="n"/>
      <c r="D51" s="147" t="n"/>
      <c r="E51" s="147" t="n"/>
      <c r="F51" s="147" t="n"/>
      <c r="G51" s="147" t="n"/>
      <c r="H51" s="159" t="n"/>
      <c r="I51" s="135" t="inlineStr">
        <is>
          <t>SELECT</t>
        </is>
      </c>
      <c r="J51" s="137" t="n"/>
      <c r="K51" s="137" t="n"/>
      <c r="L51" s="192" t="inlineStr">
        <is>
          <t>CEL</t>
        </is>
      </c>
      <c r="M51" s="153" t="inlineStr">
        <is>
          <t>MENS</t>
        </is>
      </c>
      <c r="N51" s="153" t="inlineStr">
        <is>
          <t>WOMENS</t>
        </is>
      </c>
      <c r="O51" s="153" t="inlineStr">
        <is>
          <t>FLEX</t>
        </is>
      </c>
      <c r="P51" s="153" t="inlineStr">
        <is>
          <t>STYLIST</t>
        </is>
      </c>
      <c r="Q51" s="193" t="inlineStr">
        <is>
          <t>CASH</t>
        </is>
      </c>
      <c r="R51" s="193" t="inlineStr">
        <is>
          <t>FITS</t>
        </is>
      </c>
      <c r="S51" s="193" t="inlineStr">
        <is>
          <t>GREET</t>
        </is>
      </c>
      <c r="T51" s="194" t="inlineStr">
        <is>
          <t>OFFICE</t>
        </is>
      </c>
      <c r="U51" s="194" t="inlineStr">
        <is>
          <t>TASK</t>
        </is>
      </c>
      <c r="V51" s="194" t="inlineStr">
        <is>
          <t>SHIPMENT</t>
        </is>
      </c>
      <c r="W51" s="151" t="n"/>
      <c r="X51" s="134" t="n"/>
    </row>
    <row r="52" hidden="1" ht="17.25" customHeight="1">
      <c r="A52" s="159" t="n"/>
      <c r="B52" s="2" t="n"/>
      <c r="C52" s="124" t="n"/>
      <c r="D52" s="159" t="n"/>
      <c r="E52" s="159" t="n"/>
      <c r="F52" s="159" t="n"/>
      <c r="G52" s="159" t="n"/>
      <c r="H52" s="159" t="n"/>
      <c r="I52" s="64" t="n"/>
      <c r="J52" s="64" t="n"/>
      <c r="K52" s="64" t="n"/>
      <c r="L52" s="68" t="n"/>
      <c r="M52" s="68" t="n"/>
      <c r="N52" s="68" t="n"/>
      <c r="O52" s="68" t="n"/>
      <c r="P52" s="68" t="n"/>
      <c r="Q52" s="68" t="n"/>
      <c r="R52" s="68" t="n"/>
      <c r="S52" s="68" t="n"/>
      <c r="T52" s="68" t="n"/>
      <c r="U52" s="68" t="n"/>
      <c r="V52" s="68" t="n"/>
      <c r="W52" s="151" t="n"/>
      <c r="X52" s="158">
        <f>COUNTIF(#REF!,$R$51)+COUNTIF(#REF!,$S$51)+COUNTIF(#REF!,$M$51)+COUNTIF(#REF!,$N$51)+COUNTIF(#REF!,$O$51)+COUNTIF(#REF!,$P$51)+COUNTIF(#REF!,$Q$51)</f>
        <v/>
      </c>
    </row>
  </sheetData>
  <mergeCells count="43">
    <mergeCell ref="A48:B48"/>
    <mergeCell ref="A30:B30"/>
    <mergeCell ref="G8:G18"/>
    <mergeCell ref="D6:D18"/>
    <mergeCell ref="H10:I10"/>
    <mergeCell ref="A45:B45"/>
    <mergeCell ref="A36:B36"/>
    <mergeCell ref="H4:I4"/>
    <mergeCell ref="H9:I9"/>
    <mergeCell ref="F8:F18"/>
    <mergeCell ref="H6:I6"/>
    <mergeCell ref="A41:B41"/>
    <mergeCell ref="A37:B37"/>
    <mergeCell ref="A46:B46"/>
    <mergeCell ref="A27:B27"/>
    <mergeCell ref="H1:W1"/>
    <mergeCell ref="H11:I11"/>
    <mergeCell ref="A2:B2"/>
    <mergeCell ref="A26:B26"/>
    <mergeCell ref="H7:I7"/>
    <mergeCell ref="A33:B33"/>
    <mergeCell ref="A47:B47"/>
    <mergeCell ref="A42:B42"/>
    <mergeCell ref="A32:B32"/>
    <mergeCell ref="A14:B14"/>
    <mergeCell ref="H13:I13"/>
    <mergeCell ref="H3:I3"/>
    <mergeCell ref="A35:B35"/>
    <mergeCell ref="H12:I12"/>
    <mergeCell ref="A38:B38"/>
    <mergeCell ref="H8:I8"/>
    <mergeCell ref="A43:B43"/>
    <mergeCell ref="E8:E18"/>
    <mergeCell ref="A28:B28"/>
    <mergeCell ref="H5:I5"/>
    <mergeCell ref="A44:B44"/>
    <mergeCell ref="H14:I14"/>
    <mergeCell ref="H2:W2"/>
    <mergeCell ref="A31:B31"/>
    <mergeCell ref="H16:W16"/>
    <mergeCell ref="A39:B39"/>
    <mergeCell ref="A34:B34"/>
    <mergeCell ref="A40:B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X50"/>
  <sheetViews>
    <sheetView tabSelected="1" workbookViewId="0">
      <selection activeCell="A1" sqref="A1"/>
    </sheetView>
  </sheetViews>
  <sheetFormatPr baseColWidth="8" defaultRowHeight="15"/>
  <cols>
    <col width="40.86214285714286" bestFit="1" customWidth="1" style="159" min="1" max="1"/>
    <col width="34.57642857142857" bestFit="1" customWidth="1" style="160" min="2" max="2"/>
    <col width="1.576428571428571" bestFit="1" customWidth="1" style="161" min="3" max="3"/>
    <col width="5.147857142857143" bestFit="1" customWidth="1" style="159" min="4" max="4"/>
    <col width="5.147857142857143" bestFit="1" customWidth="1" style="159" min="5" max="5"/>
    <col width="5.147857142857143" bestFit="1" customWidth="1" style="159" min="6" max="6"/>
    <col width="5.147857142857143" bestFit="1" customWidth="1" style="159" min="7" max="7"/>
    <col width="29.005" bestFit="1" customWidth="1" style="159" min="8" max="8"/>
    <col width="21.005" bestFit="1" customWidth="1" style="162" min="9" max="9"/>
    <col width="21.005" bestFit="1" customWidth="1" style="162" min="10" max="10"/>
    <col width="14.14785714285714" bestFit="1" customWidth="1" style="162" min="11" max="11"/>
    <col width="15.57642857142857" bestFit="1" customWidth="1" style="160" min="12" max="12"/>
    <col width="15.57642857142857" bestFit="1" customWidth="1" style="160" min="13" max="13"/>
    <col width="15.57642857142857" bestFit="1" customWidth="1" style="160" min="14" max="14"/>
    <col width="15.57642857142857" bestFit="1" customWidth="1" style="160" min="15" max="15"/>
    <col width="15.57642857142857" bestFit="1" customWidth="1" style="160" min="16" max="16"/>
    <col width="15.57642857142857" bestFit="1" customWidth="1" style="160" min="17" max="17"/>
    <col width="15.57642857142857" bestFit="1" customWidth="1" style="160" min="18" max="18"/>
    <col width="15.57642857142857" bestFit="1" customWidth="1" style="160" min="19" max="19"/>
    <col width="15.57642857142857" bestFit="1" customWidth="1" style="160" min="20" max="20"/>
    <col width="15.57642857142857" bestFit="1" customWidth="1" style="160" min="21" max="21"/>
    <col width="15.57642857142857" bestFit="1" customWidth="1" style="160" min="22" max="22"/>
    <col width="34.86214285714286" bestFit="1" customWidth="1" style="166" min="23" max="23"/>
    <col hidden="1" width="12.43357142857143" bestFit="1" customWidth="1" style="167" min="24" max="24"/>
  </cols>
  <sheetData>
    <row r="1" ht="88.5" customHeight="1">
      <c r="A1" s="159" t="n"/>
      <c r="B1" s="2" t="n"/>
      <c r="C1" s="3" t="n"/>
      <c r="D1" s="159" t="n"/>
      <c r="E1" s="168" t="n"/>
      <c r="F1" s="159" t="n"/>
      <c r="G1" s="159" t="n"/>
      <c r="H1" s="5" t="n"/>
      <c r="X1" s="11" t="n"/>
    </row>
    <row r="2" ht="30" customHeight="1">
      <c r="A2" s="12" t="inlineStr">
        <is>
          <t xml:space="preserve"> .</t>
        </is>
      </c>
      <c r="B2" s="370" t="n"/>
      <c r="C2" s="3" t="n"/>
      <c r="D2" s="159" t="n"/>
      <c r="E2" s="159" t="n"/>
      <c r="F2" s="159" t="n"/>
      <c r="G2" s="159" t="n"/>
      <c r="H2" s="14" t="inlineStr">
        <is>
          <t>H O U R L Y   S E G M E N T S</t>
        </is>
      </c>
      <c r="I2" s="361" t="n"/>
      <c r="J2" s="361" t="n"/>
      <c r="K2" s="361" t="n"/>
      <c r="L2" s="361" t="n"/>
      <c r="M2" s="361" t="n"/>
      <c r="N2" s="361" t="n"/>
      <c r="O2" s="361" t="n"/>
      <c r="P2" s="361" t="n"/>
      <c r="Q2" s="361" t="n"/>
      <c r="R2" s="361" t="n"/>
      <c r="S2" s="361" t="n"/>
      <c r="T2" s="361" t="n"/>
      <c r="U2" s="361" t="n"/>
      <c r="V2" s="361" t="n"/>
      <c r="W2" s="362" t="n"/>
      <c r="X2" s="19" t="n"/>
    </row>
    <row r="3" ht="27.75" customHeight="1">
      <c r="A3" s="20" t="inlineStr">
        <is>
          <t>DATE</t>
        </is>
      </c>
      <c r="B3" s="170" t="inlineStr">
        <is>
          <t>05.30.2025</t>
        </is>
      </c>
      <c r="C3" s="3" t="n"/>
      <c r="D3" s="159" t="n"/>
      <c r="E3" s="159" t="n"/>
      <c r="F3" s="159" t="n"/>
      <c r="G3" s="159" t="n"/>
      <c r="H3" s="23" t="inlineStr">
        <is>
          <t>HOURS OF OPERATIONS</t>
        </is>
      </c>
      <c r="I3" s="362" t="n"/>
      <c r="J3" s="197" t="n"/>
      <c r="K3" s="197" t="n"/>
      <c r="L3" s="25" t="inlineStr">
        <is>
          <t>10am - 11am</t>
        </is>
      </c>
      <c r="M3" s="25" t="inlineStr">
        <is>
          <t>11am - 12pm</t>
        </is>
      </c>
      <c r="N3" s="25" t="inlineStr">
        <is>
          <t>12pm - 1pm</t>
        </is>
      </c>
      <c r="O3" s="25" t="inlineStr">
        <is>
          <t>1pm - 2pm</t>
        </is>
      </c>
      <c r="P3" s="25" t="inlineStr">
        <is>
          <t>2pm - 3pm</t>
        </is>
      </c>
      <c r="Q3" s="25" t="inlineStr">
        <is>
          <t>3pm - 4pm</t>
        </is>
      </c>
      <c r="R3" s="25" t="inlineStr">
        <is>
          <t>4pm - 5pm</t>
        </is>
      </c>
      <c r="S3" s="25" t="inlineStr">
        <is>
          <t>5pm - 6pm</t>
        </is>
      </c>
      <c r="T3" s="25" t="inlineStr">
        <is>
          <t>6pm - 7pm</t>
        </is>
      </c>
      <c r="U3" s="25" t="inlineStr">
        <is>
          <t>7pm - 8pm</t>
        </is>
      </c>
      <c r="V3" s="25" t="inlineStr">
        <is>
          <t>8pm - 9pm</t>
        </is>
      </c>
      <c r="W3" s="27">
        <f>SUM(L4:V4)</f>
        <v/>
      </c>
      <c r="X3" s="19" t="n"/>
    </row>
    <row r="4" ht="27.75" customHeight="1">
      <c r="A4" s="30" t="inlineStr">
        <is>
          <t>DAY SALES TARGET</t>
        </is>
      </c>
      <c r="B4" s="31" t="n">
        <v>15188</v>
      </c>
      <c r="C4" s="32" t="n"/>
      <c r="D4" s="33" t="n"/>
      <c r="E4" s="33" t="n"/>
      <c r="F4" s="33" t="n"/>
      <c r="G4" s="33" t="n"/>
      <c r="H4" s="34" t="inlineStr">
        <is>
          <t>HOURLY SALES CONTRIBUTION %</t>
        </is>
      </c>
      <c r="I4" s="368" t="n"/>
      <c r="J4" s="198" t="n"/>
      <c r="K4" s="198" t="n"/>
      <c r="L4" s="36" t="n">
        <v>0.03</v>
      </c>
      <c r="M4" s="36" t="n">
        <v>0.07000000000000001</v>
      </c>
      <c r="N4" s="36" t="n">
        <v>0.1</v>
      </c>
      <c r="O4" s="36" t="n">
        <v>0.14</v>
      </c>
      <c r="P4" s="36" t="n">
        <v>0.15</v>
      </c>
      <c r="Q4" s="36" t="n">
        <v>0.15</v>
      </c>
      <c r="R4" s="36" t="n">
        <v>0.13</v>
      </c>
      <c r="S4" s="36" t="n">
        <v>0.11</v>
      </c>
      <c r="T4" s="36" t="n">
        <v>0.07000000000000001</v>
      </c>
      <c r="U4" s="36" t="n">
        <v>0.03</v>
      </c>
      <c r="V4" s="36" t="n">
        <v>0.02</v>
      </c>
      <c r="W4" s="37" t="inlineStr">
        <is>
          <t>NOTES &amp; OBSERVATIONS
Complete throughout the day</t>
        </is>
      </c>
      <c r="X4" s="28" t="n"/>
    </row>
    <row r="5" ht="27.75" customHeight="1">
      <c r="A5" s="30" t="inlineStr">
        <is>
          <t>STRETCH TARGET</t>
        </is>
      </c>
      <c r="B5" s="31" t="n">
        <v>16000</v>
      </c>
      <c r="C5" s="3" t="n"/>
      <c r="D5" s="33" t="n"/>
      <c r="E5" s="33" t="n"/>
      <c r="F5" s="33" t="n"/>
      <c r="G5" s="33" t="n"/>
      <c r="H5" s="34" t="inlineStr">
        <is>
          <t>CUMULATIVE SALES TARGET</t>
        </is>
      </c>
      <c r="I5" s="368" t="n"/>
      <c r="J5" s="199" t="n"/>
      <c r="K5" s="199" t="n"/>
      <c r="L5" s="38">
        <f>SUM(L$4:L$4)*$B$4</f>
        <v/>
      </c>
      <c r="M5" s="38">
        <f>SUM(L4:M4)*$B$4</f>
        <v/>
      </c>
      <c r="N5" s="38">
        <f>SUM(L4:N4)*$B$4</f>
        <v/>
      </c>
      <c r="O5" s="38">
        <f>SUM(L4:O4)*$B$4</f>
        <v/>
      </c>
      <c r="P5" s="38">
        <f>SUM(L4:P4)*$B$4</f>
        <v/>
      </c>
      <c r="Q5" s="38">
        <f>SUM(L4:Q4)*$B$4</f>
        <v/>
      </c>
      <c r="R5" s="38">
        <f>SUM(L4:R4)*$B$4</f>
        <v/>
      </c>
      <c r="S5" s="38">
        <f>SUM(L4:S4)*$B$4</f>
        <v/>
      </c>
      <c r="T5" s="38">
        <f>SUM(L4:T4)*$B$4</f>
        <v/>
      </c>
      <c r="U5" s="38">
        <f>SUM(L4:U4)*$B$4</f>
        <v/>
      </c>
      <c r="V5" s="38">
        <f>SUM(L4:V4)*$B$4</f>
        <v/>
      </c>
      <c r="W5" s="39" t="n"/>
      <c r="X5" s="28" t="n"/>
    </row>
    <row r="6" ht="27.75" customHeight="1">
      <c r="A6" s="30" t="inlineStr">
        <is>
          <t>LAST YEAR SALES</t>
        </is>
      </c>
      <c r="B6" s="31" t="n">
        <v>14000</v>
      </c>
      <c r="C6" s="40">
        <f>B5/B4</f>
        <v/>
      </c>
      <c r="D6" s="43" t="inlineStr">
        <is>
          <t>LEARNING LAB: BEHAVIOURS &amp; OBSERVATIONS</t>
        </is>
      </c>
      <c r="E6" s="41" t="n"/>
      <c r="F6" s="41" t="n"/>
      <c r="G6" s="41" t="n"/>
      <c r="H6" s="34" t="inlineStr">
        <is>
          <t>CUMULATIVE STRETCH TARGET</t>
        </is>
      </c>
      <c r="I6" s="368" t="n"/>
      <c r="J6" s="199" t="n"/>
      <c r="K6" s="199" t="n"/>
      <c r="L6" s="38">
        <f>SUM(L4:L4)*$B$5</f>
        <v/>
      </c>
      <c r="M6" s="38">
        <f>SUM(L4:M4)*$B$5</f>
        <v/>
      </c>
      <c r="N6" s="38">
        <f>SUM(L4:N4)*$B$5</f>
        <v/>
      </c>
      <c r="O6" s="38">
        <f>SUM(L4:O4)*$B$5</f>
        <v/>
      </c>
      <c r="P6" s="38">
        <f>SUM(L4:P4)*$B$5</f>
        <v/>
      </c>
      <c r="Q6" s="38">
        <f>SUM(L4:Q4)*$B$5</f>
        <v/>
      </c>
      <c r="R6" s="38">
        <f>SUM(L4:R4)*$B$5</f>
        <v/>
      </c>
      <c r="S6" s="38">
        <f>SUM(L4:S4)*$B$5</f>
        <v/>
      </c>
      <c r="T6" s="38">
        <f>SUM(L4:T4)*$B$5</f>
        <v/>
      </c>
      <c r="U6" s="38">
        <f>SUM(L4:U4)*$B$5</f>
        <v/>
      </c>
      <c r="V6" s="38">
        <f>SUM(L4:V4)*$B$5</f>
        <v/>
      </c>
      <c r="W6" s="39" t="n"/>
      <c r="X6" s="28" t="n"/>
    </row>
    <row r="7" ht="27.75" customHeight="1">
      <c r="A7" s="30" t="inlineStr">
        <is>
          <t>LAST YEAR TRAFFIC</t>
        </is>
      </c>
      <c r="B7" s="42" t="n">
        <v>700</v>
      </c>
      <c r="C7" s="3" t="n"/>
      <c r="E7" s="33" t="n"/>
      <c r="F7" s="33" t="n"/>
      <c r="G7" s="33" t="n"/>
      <c r="H7" s="44" t="inlineStr">
        <is>
          <t>CUMULATIVE SALES ACTUAL</t>
        </is>
      </c>
      <c r="I7" s="368" t="n"/>
      <c r="J7" s="200" t="n"/>
      <c r="K7" s="200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171" t="n"/>
      <c r="W7" s="39" t="n"/>
      <c r="X7" s="28" t="n"/>
    </row>
    <row r="8" ht="27.75" customHeight="1">
      <c r="A8" s="30" t="inlineStr">
        <is>
          <t>CURRENT TRAFFIC TREND (+/-)</t>
        </is>
      </c>
      <c r="B8" s="46" t="n">
        <v>-0.1</v>
      </c>
      <c r="C8" s="3" t="n"/>
      <c r="E8" s="43" t="inlineStr">
        <is>
          <t>1ST BREAK TAKEN</t>
        </is>
      </c>
      <c r="F8" s="43" t="inlineStr">
        <is>
          <t>2ND BREAK TAKEN (IF APPLICABLE)</t>
        </is>
      </c>
      <c r="G8" s="43" t="inlineStr">
        <is>
          <t>OTHER: __________________________________</t>
        </is>
      </c>
      <c r="H8" s="44" t="inlineStr">
        <is>
          <t>TRAFFIC</t>
        </is>
      </c>
      <c r="I8" s="368" t="n"/>
      <c r="J8" s="200" t="n"/>
      <c r="K8" s="200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172" t="n"/>
      <c r="W8" s="39" t="n"/>
      <c r="X8" s="28" t="n"/>
    </row>
    <row r="9" ht="27.75" customHeight="1">
      <c r="A9" s="30" t="inlineStr">
        <is>
          <t>PROJECTED TRAFFIC</t>
        </is>
      </c>
      <c r="B9" s="48" t="n">
        <v>1000</v>
      </c>
      <c r="C9" s="3" t="n"/>
      <c r="H9" s="44" t="inlineStr">
        <is>
          <t>TRANSACTIONS</t>
        </is>
      </c>
      <c r="I9" s="368" t="n"/>
      <c r="J9" s="201" t="n"/>
      <c r="K9" s="201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172" t="n"/>
      <c r="W9" s="39" t="n"/>
      <c r="X9" s="28" t="n"/>
    </row>
    <row r="10" ht="27.75" customHeight="1">
      <c r="A10" s="30" t="inlineStr">
        <is>
          <t>TRANSACTION GOAL</t>
        </is>
      </c>
      <c r="B10" s="48">
        <f>B11*B9</f>
        <v/>
      </c>
      <c r="C10" s="3" t="n"/>
      <c r="H10" s="44" t="inlineStr">
        <is>
          <t>CONVERSION</t>
        </is>
      </c>
      <c r="I10" s="368" t="n"/>
      <c r="J10" s="200" t="n"/>
      <c r="K10" s="200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173" t="n"/>
      <c r="W10" s="39" t="n"/>
      <c r="X10" s="28" t="n"/>
    </row>
    <row r="11" ht="27.75" customHeight="1">
      <c r="A11" s="30" t="inlineStr">
        <is>
          <t>CONVERSION TARGET</t>
        </is>
      </c>
      <c r="B11" s="46" t="n">
        <v>0.2</v>
      </c>
      <c r="C11" s="29" t="n"/>
      <c r="H11" s="44" t="inlineStr">
        <is>
          <t>UPT</t>
        </is>
      </c>
      <c r="I11" s="368" t="n"/>
      <c r="J11" s="200" t="n"/>
      <c r="K11" s="20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174" t="n"/>
      <c r="W11" s="51" t="n"/>
      <c r="X11" s="28" t="n"/>
    </row>
    <row r="12" ht="27.75" customHeight="1">
      <c r="A12" s="30" t="inlineStr">
        <is>
          <t>UPT</t>
        </is>
      </c>
      <c r="B12" s="52" t="n">
        <v>2.3</v>
      </c>
      <c r="C12" s="29" t="n"/>
      <c r="H12" s="44" t="inlineStr">
        <is>
          <t>ATV</t>
        </is>
      </c>
      <c r="I12" s="368" t="n"/>
      <c r="J12" s="200" t="n"/>
      <c r="K12" s="200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171" t="n"/>
      <c r="W12" s="51" t="n"/>
      <c r="X12" s="28" t="n"/>
    </row>
    <row r="13" ht="27.75" customHeight="1">
      <c r="A13" s="53" t="inlineStr">
        <is>
          <t>ATV</t>
        </is>
      </c>
      <c r="B13" s="54">
        <f>B4/B10</f>
        <v/>
      </c>
      <c r="C13" s="3" t="n"/>
      <c r="H13" s="44" t="inlineStr">
        <is>
          <t>OTHER: _________________</t>
        </is>
      </c>
      <c r="I13" s="368" t="n"/>
      <c r="J13" s="202" t="n"/>
      <c r="K13" s="202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171" t="n"/>
      <c r="W13" s="51" t="n"/>
      <c r="X13" s="56" t="n"/>
    </row>
    <row r="14" ht="27.75" customHeight="1">
      <c r="A14" s="57" t="inlineStr">
        <is>
          <t>M O N T H   T O   D A T E   P E R F O R M A N C E</t>
        </is>
      </c>
      <c r="B14" s="371" t="n"/>
      <c r="C14" s="3" t="n"/>
      <c r="H14" s="59" t="inlineStr">
        <is>
          <t>CEL SIGN-OFF (INITIALS)</t>
        </is>
      </c>
      <c r="I14" s="372" t="n"/>
      <c r="J14" s="203" t="n"/>
      <c r="K14" s="203" t="n"/>
      <c r="L14" s="61" t="n"/>
      <c r="M14" s="61" t="n"/>
      <c r="N14" s="61" t="n"/>
      <c r="O14" s="61" t="n"/>
      <c r="P14" s="61" t="n"/>
      <c r="Q14" s="61" t="n"/>
      <c r="R14" s="61" t="n"/>
      <c r="S14" s="61" t="n"/>
      <c r="T14" s="61" t="n"/>
      <c r="U14" s="61" t="n"/>
      <c r="V14" s="61" t="n"/>
      <c r="W14" s="62" t="n"/>
      <c r="X14" s="56" t="n"/>
    </row>
    <row r="15" ht="27.75" customHeight="1">
      <c r="A15" s="20" t="inlineStr">
        <is>
          <t>MONTH SALES PLAN</t>
        </is>
      </c>
      <c r="B15" s="80" t="n">
        <v>453745</v>
      </c>
      <c r="C15" s="3" t="n"/>
      <c r="H15" s="159" t="n"/>
      <c r="I15" s="64" t="n"/>
      <c r="J15" s="64" t="n"/>
      <c r="K15" s="64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  <c r="W15" s="2" t="n"/>
      <c r="X15" s="56" t="n"/>
    </row>
    <row r="16" ht="27.75" customHeight="1">
      <c r="A16" s="30" t="inlineStr">
        <is>
          <t>MONTH TO DATE SALES</t>
        </is>
      </c>
      <c r="B16" s="204" t="n"/>
      <c r="C16" s="3" t="n"/>
      <c r="H16" s="69" t="inlineStr">
        <is>
          <t>Z O N E   C H A R T</t>
        </is>
      </c>
      <c r="I16" s="373" t="n"/>
      <c r="J16" s="373" t="n"/>
      <c r="K16" s="373" t="n"/>
      <c r="L16" s="373" t="n"/>
      <c r="M16" s="373" t="n"/>
      <c r="N16" s="373" t="n"/>
      <c r="O16" s="373" t="n"/>
      <c r="P16" s="373" t="n"/>
      <c r="Q16" s="373" t="n"/>
      <c r="R16" s="373" t="n"/>
      <c r="S16" s="373" t="n"/>
      <c r="T16" s="373" t="n"/>
      <c r="U16" s="373" t="n"/>
      <c r="V16" s="373" t="n"/>
      <c r="W16" s="371" t="n"/>
      <c r="X16" s="56" t="n"/>
    </row>
    <row r="17" ht="27.75" customHeight="1">
      <c r="A17" s="30" t="inlineStr">
        <is>
          <t>% TO MONTH SALES PLAN</t>
        </is>
      </c>
      <c r="B17" s="205" t="n"/>
      <c r="C17" s="3" t="n"/>
      <c r="H17" s="74" t="inlineStr">
        <is>
          <t>Name</t>
        </is>
      </c>
      <c r="I17" s="206" t="inlineStr">
        <is>
          <t>Shift</t>
        </is>
      </c>
      <c r="J17" s="206" t="inlineStr">
        <is>
          <t>8am-9am</t>
        </is>
      </c>
      <c r="K17" s="206" t="inlineStr">
        <is>
          <t>9am-10am</t>
        </is>
      </c>
      <c r="L17" s="207">
        <f>L$3</f>
        <v/>
      </c>
      <c r="M17" s="207">
        <f>M$3</f>
        <v/>
      </c>
      <c r="N17" s="207">
        <f>N$3</f>
        <v/>
      </c>
      <c r="O17" s="207">
        <f>O$3</f>
        <v/>
      </c>
      <c r="P17" s="207">
        <f>P$3</f>
        <v/>
      </c>
      <c r="Q17" s="207">
        <f>Q$3</f>
        <v/>
      </c>
      <c r="R17" s="207">
        <f>R$3</f>
        <v/>
      </c>
      <c r="S17" s="207">
        <f>S$3</f>
        <v/>
      </c>
      <c r="T17" s="207">
        <f>T$3</f>
        <v/>
      </c>
      <c r="U17" s="207">
        <f>U$3</f>
        <v/>
      </c>
      <c r="V17" s="207">
        <f>V$3</f>
        <v/>
      </c>
      <c r="W17" s="79" t="inlineStr">
        <is>
          <t>Sales Target</t>
        </is>
      </c>
      <c r="X17" s="56" t="n"/>
    </row>
    <row r="18" ht="27.75" customHeight="1">
      <c r="A18" s="30" t="inlineStr">
        <is>
          <t>MONTH TO GO</t>
        </is>
      </c>
      <c r="B18" s="208" t="n"/>
      <c r="C18" s="3" t="n"/>
      <c r="H18" s="209" t="inlineStr"/>
      <c r="I18" s="209" t="inlineStr"/>
      <c r="J18" s="210" t="n"/>
      <c r="K18" s="211" t="inlineStr"/>
      <c r="L18" s="212" t="inlineStr"/>
      <c r="M18" s="213" t="inlineStr"/>
      <c r="N18" s="213" t="inlineStr"/>
      <c r="O18" s="213" t="inlineStr"/>
      <c r="P18" s="213" t="inlineStr"/>
      <c r="Q18" s="213" t="inlineStr"/>
      <c r="R18" s="213" t="inlineStr"/>
      <c r="S18" s="45" t="n"/>
      <c r="T18" s="45" t="n"/>
      <c r="U18" s="45" t="n"/>
      <c r="V18" s="45" t="n"/>
      <c r="W18" s="214" t="n"/>
      <c r="X18" s="56" t="n"/>
    </row>
    <row r="19" ht="17.25" customHeight="1">
      <c r="A19" s="94" t="n"/>
      <c r="B19" s="95">
        <f>#REF!+B15</f>
        <v/>
      </c>
      <c r="C19" s="3" t="n"/>
      <c r="D19" s="96" t="n"/>
      <c r="E19" s="96" t="n"/>
      <c r="F19" s="96" t="n"/>
      <c r="G19" s="97" t="n"/>
      <c r="H19" s="99" t="n"/>
      <c r="I19" s="129" t="n"/>
      <c r="J19" s="129" t="n"/>
      <c r="K19" s="21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214" t="n"/>
      <c r="X19" s="56" t="n"/>
    </row>
    <row r="20" ht="17.25" customHeight="1">
      <c r="A20" s="100" t="n"/>
      <c r="B20" s="101" t="n">
        <v>1</v>
      </c>
      <c r="C20" s="3" t="n"/>
      <c r="D20" s="96" t="n"/>
      <c r="E20" s="96" t="n"/>
      <c r="F20" s="96" t="n"/>
      <c r="G20" s="97" t="n"/>
      <c r="H20" s="99" t="n"/>
      <c r="I20" s="129" t="n"/>
      <c r="J20" s="129" t="n"/>
      <c r="K20" s="21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214" t="n"/>
      <c r="X20" s="56" t="n"/>
    </row>
    <row r="21" ht="27.75" customHeight="1">
      <c r="A21" s="106" t="inlineStr">
        <is>
          <t>DENIM: 69.99 when you buy 2 or more</t>
        </is>
      </c>
      <c r="C21" s="3" t="n"/>
      <c r="D21" s="96" t="n"/>
      <c r="E21" s="96" t="n"/>
      <c r="F21" s="96" t="n"/>
      <c r="G21" s="97" t="n"/>
      <c r="H21" s="209" t="inlineStr"/>
      <c r="I21" s="209" t="inlineStr"/>
      <c r="J21" s="129" t="n"/>
      <c r="K21" s="210" t="n"/>
      <c r="L21" s="213" t="inlineStr"/>
      <c r="M21" s="216" t="inlineStr"/>
      <c r="N21" s="216" t="inlineStr"/>
      <c r="O21" s="216" t="inlineStr"/>
      <c r="P21" s="216" t="inlineStr"/>
      <c r="Q21" s="216" t="inlineStr"/>
      <c r="R21" s="216" t="inlineStr"/>
      <c r="S21" s="216" t="inlineStr"/>
      <c r="T21" s="45" t="n"/>
      <c r="U21" s="45" t="n"/>
      <c r="V21" s="45" t="n"/>
      <c r="W21" s="214" t="n"/>
      <c r="X21" s="56" t="n"/>
    </row>
    <row r="22" ht="27.75" customHeight="1">
      <c r="A22" s="106" t="inlineStr">
        <is>
          <t xml:space="preserve">TOPS, OUTERWEAR, SHORTS: BOGO 50% </t>
        </is>
      </c>
      <c r="C22" s="3" t="n"/>
      <c r="D22" s="96" t="n"/>
      <c r="E22" s="96" t="n"/>
      <c r="F22" s="96" t="n"/>
      <c r="G22" s="97" t="n"/>
      <c r="H22" s="209" t="inlineStr"/>
      <c r="I22" s="209" t="inlineStr"/>
      <c r="J22" s="129" t="n"/>
      <c r="K22" s="210" t="n"/>
      <c r="L22" s="213" t="inlineStr"/>
      <c r="M22" s="104" t="n"/>
      <c r="N22" s="104" t="n"/>
      <c r="O22" s="104" t="n"/>
      <c r="P22" s="104" t="n"/>
      <c r="Q22" s="45" t="n"/>
      <c r="R22" s="45" t="n"/>
      <c r="S22" s="45" t="n"/>
      <c r="T22" s="45" t="n"/>
      <c r="U22" s="45" t="n"/>
      <c r="V22" s="45" t="n"/>
      <c r="W22" s="214" t="n"/>
      <c r="X22" s="56" t="n"/>
    </row>
    <row r="23" ht="27.75" customHeight="1">
      <c r="A23" s="217" t="inlineStr">
        <is>
          <t>SW. $34.99, $39.99, 44.99, 49.99</t>
        </is>
      </c>
      <c r="B23" s="2" t="n"/>
      <c r="C23" s="3" t="n"/>
      <c r="D23" s="96" t="n"/>
      <c r="E23" s="96" t="n"/>
      <c r="F23" s="96" t="n"/>
      <c r="G23" s="97" t="n"/>
      <c r="H23" s="209" t="inlineStr"/>
      <c r="I23" s="209" t="inlineStr"/>
      <c r="J23" s="129" t="n"/>
      <c r="K23" s="215" t="n"/>
      <c r="L23" s="45" t="n"/>
      <c r="M23" s="212" t="inlineStr"/>
      <c r="N23" s="218" t="inlineStr"/>
      <c r="O23" s="218" t="inlineStr"/>
      <c r="P23" s="218" t="inlineStr"/>
      <c r="Q23" s="218" t="inlineStr"/>
      <c r="R23" s="45" t="n"/>
      <c r="S23" s="45" t="n"/>
      <c r="T23" s="45" t="n"/>
      <c r="U23" s="45" t="n"/>
      <c r="V23" s="45" t="n"/>
      <c r="W23" s="219" t="n"/>
      <c r="X23" s="127" t="n"/>
    </row>
    <row r="24" ht="27.75" customHeight="1">
      <c r="A24" s="106" t="inlineStr">
        <is>
          <t>Clearance additional 40% off</t>
        </is>
      </c>
      <c r="C24" s="3" t="n"/>
      <c r="D24" s="96" t="n"/>
      <c r="E24" s="96" t="n"/>
      <c r="F24" s="96" t="n"/>
      <c r="G24" s="97" t="n"/>
      <c r="H24" s="209" t="inlineStr"/>
      <c r="I24" s="209" t="inlineStr"/>
      <c r="J24" s="129" t="n"/>
      <c r="K24" s="215" t="n"/>
      <c r="L24" s="45" t="n"/>
      <c r="M24" s="45" t="n"/>
      <c r="N24" s="212" t="inlineStr"/>
      <c r="O24" s="220" t="inlineStr"/>
      <c r="P24" s="220" t="inlineStr"/>
      <c r="Q24" s="220" t="inlineStr"/>
      <c r="R24" s="220" t="inlineStr"/>
      <c r="S24" s="45" t="n"/>
      <c r="T24" s="45" t="n"/>
      <c r="U24" s="45" t="n"/>
      <c r="V24" s="45" t="n"/>
      <c r="W24" s="219" t="n"/>
      <c r="X24" s="127" t="n"/>
    </row>
    <row r="25" ht="27.75" customHeight="1">
      <c r="A25" s="221" t="n"/>
      <c r="B25" s="113" t="n"/>
      <c r="C25" s="3" t="n"/>
      <c r="D25" s="96" t="n"/>
      <c r="E25" s="96" t="n"/>
      <c r="F25" s="222" t="n"/>
      <c r="G25" s="223" t="n"/>
      <c r="H25" s="209" t="inlineStr"/>
      <c r="I25" s="209" t="inlineStr"/>
      <c r="J25" s="129" t="n"/>
      <c r="K25" s="215" t="n"/>
      <c r="L25" s="45" t="n"/>
      <c r="M25" s="45" t="n"/>
      <c r="N25" s="212" t="inlineStr"/>
      <c r="O25" s="105" t="n"/>
      <c r="P25" s="224" t="inlineStr"/>
      <c r="Q25" s="220" t="inlineStr"/>
      <c r="R25" s="220" t="inlineStr"/>
      <c r="S25" s="45" t="n"/>
      <c r="T25" s="45" t="n"/>
      <c r="U25" s="45" t="n"/>
      <c r="V25" s="45" t="n"/>
      <c r="W25" s="225" t="n"/>
      <c r="X25" s="226" t="n"/>
    </row>
    <row r="26" ht="27.75" customHeight="1">
      <c r="A26" s="227" t="n"/>
      <c r="B26" s="118" t="n"/>
      <c r="C26" s="228" t="n"/>
      <c r="D26" s="96" t="n"/>
      <c r="E26" s="96" t="n"/>
      <c r="F26" s="222" t="n"/>
      <c r="G26" s="229" t="n"/>
      <c r="H26" s="230" t="inlineStr"/>
      <c r="I26" s="211" t="inlineStr"/>
      <c r="J26" s="215" t="n"/>
      <c r="K26" s="210" t="n"/>
      <c r="L26" s="45" t="n"/>
      <c r="M26" s="45" t="n"/>
      <c r="N26" s="45" t="n"/>
      <c r="O26" s="220" t="inlineStr"/>
      <c r="P26" s="220" t="inlineStr"/>
      <c r="Q26" s="220" t="inlineStr"/>
      <c r="R26" s="220" t="inlineStr"/>
      <c r="S26" s="212" t="inlineStr"/>
      <c r="T26" s="231" t="inlineStr"/>
      <c r="U26" s="231" t="inlineStr"/>
      <c r="V26" s="231" t="inlineStr"/>
      <c r="W26" s="232" t="n"/>
      <c r="X26" s="29" t="n"/>
    </row>
    <row r="27" ht="23.25" customHeight="1">
      <c r="A27" s="227" t="n"/>
      <c r="B27" s="118" t="n"/>
      <c r="C27" s="233" t="n"/>
      <c r="D27" s="96" t="n"/>
      <c r="E27" s="97" t="n"/>
      <c r="F27" s="96" t="n"/>
      <c r="G27" s="234" t="n"/>
      <c r="H27" s="230" t="inlineStr"/>
      <c r="I27" s="211" t="inlineStr"/>
      <c r="J27" s="215" t="n"/>
      <c r="K27" s="210" t="n"/>
      <c r="L27" s="45" t="n"/>
      <c r="M27" s="45" t="n"/>
      <c r="N27" s="45" t="n"/>
      <c r="O27" s="45" t="n"/>
      <c r="P27" s="220" t="inlineStr"/>
      <c r="Q27" s="220" t="inlineStr"/>
      <c r="R27" s="220" t="inlineStr"/>
      <c r="S27" s="212" t="inlineStr"/>
      <c r="T27" s="231" t="inlineStr"/>
      <c r="U27" s="45" t="n"/>
      <c r="V27" s="235" t="n"/>
      <c r="W27" s="214" t="n"/>
      <c r="X27" s="29" t="n"/>
    </row>
    <row r="28" ht="30" customHeight="1">
      <c r="A28" s="106" t="n"/>
      <c r="C28" s="3" t="n"/>
      <c r="D28" s="96" t="n"/>
      <c r="E28" s="96" t="n"/>
      <c r="F28" s="236" t="n"/>
      <c r="G28" s="237" t="n"/>
      <c r="H28" s="209" t="inlineStr"/>
      <c r="I28" s="209" t="inlineStr"/>
      <c r="J28" s="129" t="n"/>
      <c r="K28" s="215" t="n"/>
      <c r="L28" s="45" t="n"/>
      <c r="M28" s="45" t="n"/>
      <c r="N28" s="45" t="n"/>
      <c r="O28" s="45" t="n"/>
      <c r="P28" s="45" t="n"/>
      <c r="Q28" s="238" t="n"/>
      <c r="R28" s="239" t="inlineStr"/>
      <c r="S28" s="108" t="n"/>
      <c r="T28" s="108" t="n"/>
      <c r="U28" s="108" t="n"/>
      <c r="V28" s="108" t="n"/>
      <c r="W28" s="240" t="inlineStr">
        <is>
          <t>PRE-CLOSE</t>
        </is>
      </c>
      <c r="X28" s="127" t="n"/>
    </row>
    <row r="29" ht="30" customHeight="1">
      <c r="A29" s="112" t="n"/>
      <c r="B29" s="113" t="n"/>
      <c r="C29" s="3" t="n"/>
      <c r="D29" s="96" t="n"/>
      <c r="E29" s="96" t="n"/>
      <c r="F29" s="96" t="n"/>
      <c r="G29" s="97" t="n"/>
      <c r="H29" s="209" t="inlineStr"/>
      <c r="I29" s="209" t="inlineStr"/>
      <c r="J29" s="129" t="n"/>
      <c r="K29" s="215" t="n"/>
      <c r="L29" s="45" t="n"/>
      <c r="M29" s="45" t="n"/>
      <c r="N29" s="45" t="n"/>
      <c r="O29" s="45" t="n"/>
      <c r="P29" s="45" t="n"/>
      <c r="Q29" s="45" t="n"/>
      <c r="R29" s="213" t="inlineStr"/>
      <c r="S29" s="93" t="n"/>
      <c r="T29" s="93" t="n"/>
      <c r="U29" s="93" t="n"/>
      <c r="V29" s="93" t="n"/>
      <c r="W29" s="214" t="n"/>
      <c r="X29" s="127" t="n"/>
    </row>
    <row r="30" ht="30" customHeight="1">
      <c r="A30" s="106" t="n"/>
      <c r="C30" s="3" t="n"/>
      <c r="D30" s="96" t="n"/>
      <c r="E30" s="96" t="n"/>
      <c r="F30" s="96" t="n"/>
      <c r="G30" s="97" t="n"/>
      <c r="H30" s="209" t="inlineStr"/>
      <c r="I30" s="209" t="inlineStr"/>
      <c r="J30" s="129" t="n"/>
      <c r="K30" s="215" t="n"/>
      <c r="L30" s="45" t="n"/>
      <c r="M30" s="45" t="n"/>
      <c r="N30" s="45" t="n"/>
      <c r="O30" s="45" t="n"/>
      <c r="P30" s="45" t="n"/>
      <c r="Q30" s="45" t="n"/>
      <c r="R30" s="212" t="inlineStr"/>
      <c r="S30" s="105" t="n"/>
      <c r="T30" s="105" t="n"/>
      <c r="U30" s="105" t="n"/>
      <c r="V30" s="105" t="n"/>
      <c r="W30" s="214" t="n"/>
      <c r="X30" s="127" t="n"/>
    </row>
    <row r="31" ht="30" customHeight="1">
      <c r="A31" s="106" t="n"/>
      <c r="B31" s="113" t="n"/>
      <c r="C31" s="3" t="n"/>
      <c r="D31" s="96" t="n"/>
      <c r="E31" s="96" t="n"/>
      <c r="F31" s="96" t="n"/>
      <c r="G31" s="97" t="n"/>
      <c r="H31" s="209" t="inlineStr"/>
      <c r="I31" s="209" t="inlineStr"/>
      <c r="J31" s="129" t="n"/>
      <c r="K31" s="215" t="n"/>
      <c r="L31" s="45" t="n"/>
      <c r="M31" s="45" t="n"/>
      <c r="N31" s="45" t="n"/>
      <c r="O31" s="45" t="n"/>
      <c r="P31" s="45" t="n"/>
      <c r="Q31" s="45" t="n"/>
      <c r="R31" s="212" t="inlineStr"/>
      <c r="S31" s="104" t="n"/>
      <c r="T31" s="104" t="n"/>
      <c r="U31" s="104" t="n"/>
      <c r="V31" s="104" t="n"/>
      <c r="W31" s="214" t="n"/>
      <c r="X31" s="127" t="n"/>
    </row>
    <row r="32" ht="22.5" customHeight="1">
      <c r="A32" s="122" t="inlineStr">
        <is>
          <t>HR &amp; PEOPLE</t>
        </is>
      </c>
      <c r="B32" s="360" t="n"/>
      <c r="C32" s="124" t="n"/>
      <c r="D32" s="96" t="n"/>
      <c r="E32" s="96" t="n"/>
      <c r="F32" s="96" t="n"/>
      <c r="G32" s="97" t="n"/>
      <c r="H32" s="209" t="inlineStr"/>
      <c r="I32" s="209" t="inlineStr"/>
      <c r="J32" s="129" t="n"/>
      <c r="K32" s="215" t="n"/>
      <c r="L32" s="45" t="n"/>
      <c r="M32" s="45" t="n"/>
      <c r="N32" s="45" t="n"/>
      <c r="O32" s="45" t="n"/>
      <c r="P32" s="45" t="n"/>
      <c r="Q32" s="45" t="n"/>
      <c r="R32" s="212" t="inlineStr"/>
      <c r="S32" s="241" t="n"/>
      <c r="T32" s="241" t="n"/>
      <c r="U32" s="241" t="n"/>
      <c r="V32" s="241" t="n"/>
      <c r="W32" s="214" t="n"/>
      <c r="X32" s="127">
        <f>COUNTIF(#REF!,$R$48)+COUNTIF(#REF!,$S$48)+COUNTIF(#REF!,$M$48)+COUNTIF(#REF!,$N$48)+COUNTIF(#REF!,$O$48)+COUNTIF(#REF!,$P$48)+COUNTIF(#REF!,$Q$48)</f>
        <v/>
      </c>
    </row>
    <row r="33" ht="22.5" customHeight="1">
      <c r="A33" s="128" t="n"/>
      <c r="B33" s="360" t="n"/>
      <c r="C33" s="124" t="n"/>
      <c r="D33" s="96" t="n"/>
      <c r="E33" s="96" t="n"/>
      <c r="F33" s="96" t="n"/>
      <c r="G33" s="97" t="n"/>
      <c r="H33" s="209" t="inlineStr"/>
      <c r="I33" s="209" t="inlineStr"/>
      <c r="J33" s="129" t="n"/>
      <c r="K33" s="129" t="n"/>
      <c r="L33" s="119" t="n"/>
      <c r="M33" s="119" t="n"/>
      <c r="N33" s="119" t="n"/>
      <c r="O33" s="119" t="n"/>
      <c r="P33" s="119" t="n"/>
      <c r="Q33" s="242" t="n"/>
      <c r="R33" s="243" t="inlineStr"/>
      <c r="S33" s="244" t="n"/>
      <c r="T33" s="244" t="n"/>
      <c r="U33" s="241" t="n"/>
      <c r="V33" s="241" t="n"/>
      <c r="W33" s="214" t="n"/>
      <c r="X33" s="127">
        <f>COUNTIF(L33:V33,$R$48)+COUNTIF(L33:V33,$S$48)+COUNTIF(L33:V33,$M$48)+COUNTIF(L33:V33,$N$48)+COUNTIF(L33:V33,$O$48)+COUNTIF(L33:V33,$P$48)+COUNTIF(L33:V33,$Q$48)</f>
        <v/>
      </c>
    </row>
    <row r="34" ht="22.5" customHeight="1">
      <c r="A34" s="122" t="inlineStr">
        <is>
          <t>BRAND ENVIRONMENT</t>
        </is>
      </c>
      <c r="B34" s="360" t="n"/>
      <c r="C34" s="124" t="n"/>
      <c r="D34" s="96" t="n"/>
      <c r="E34" s="96" t="n"/>
      <c r="F34" s="96" t="n"/>
      <c r="G34" s="97" t="n"/>
      <c r="H34" s="209" t="inlineStr"/>
      <c r="I34" s="209" t="inlineStr"/>
      <c r="J34" s="215" t="n"/>
      <c r="K34" s="245" t="inlineStr"/>
      <c r="L34" s="246" t="n"/>
      <c r="M34" s="246" t="n"/>
      <c r="N34" s="246" t="n"/>
      <c r="O34" s="246" t="n"/>
      <c r="P34" s="247" t="n"/>
      <c r="Q34" s="119" t="n"/>
      <c r="R34" s="119" t="n"/>
      <c r="S34" s="119" t="n"/>
      <c r="T34" s="119" t="n"/>
      <c r="U34" s="119" t="n"/>
      <c r="V34" s="119" t="n"/>
      <c r="W34" s="214" t="n"/>
      <c r="X34" s="127">
        <f>COUNTIF(L34:V34,$R$48)+COUNTIF(L34:V34,$S$48)+COUNTIF(L34:V34,$M$48)+COUNTIF(L34:V34,$N$48)+COUNTIF(L34:V34,$O$48)+COUNTIF(L34:V34,$P$48)+COUNTIF(L34:V34,$Q$48)</f>
        <v/>
      </c>
    </row>
    <row r="35" ht="22.5" customHeight="1">
      <c r="A35" s="122" t="inlineStr">
        <is>
          <t>HEALTHY &amp; SAFETY</t>
        </is>
      </c>
      <c r="B35" s="360" t="n"/>
      <c r="C35" s="124" t="n"/>
      <c r="D35" s="96" t="n"/>
      <c r="E35" s="96" t="n"/>
      <c r="F35" s="96" t="n"/>
      <c r="G35" s="97" t="n"/>
      <c r="H35" s="99" t="n"/>
      <c r="I35" s="129" t="n"/>
      <c r="J35" s="129" t="n"/>
      <c r="K35" s="129" t="n"/>
      <c r="L35" s="119" t="n"/>
      <c r="M35" s="119" t="n"/>
      <c r="N35" s="119" t="n"/>
      <c r="O35" s="119" t="n"/>
      <c r="P35" s="119" t="n"/>
      <c r="Q35" s="119" t="n"/>
      <c r="R35" s="119" t="n"/>
      <c r="S35" s="119" t="n"/>
      <c r="T35" s="119" t="n"/>
      <c r="U35" s="119" t="n"/>
      <c r="V35" s="119" t="n"/>
      <c r="W35" s="214" t="n"/>
      <c r="X35" s="127">
        <f>COUNTIF(L35:V35,$R$48)+COUNTIF(L35:V35,$S$48)+COUNTIF(L35:V35,$M$48)+COUNTIF(L35:V35,$N$48)+COUNTIF(L35:V35,$O$48)+COUNTIF(L35:V35,$P$48)+COUNTIF(L35:V35,$Q$48)</f>
        <v/>
      </c>
    </row>
    <row r="36" ht="27.75" customHeight="1">
      <c r="A36" s="128" t="n"/>
      <c r="B36" s="360" t="n"/>
      <c r="C36" s="124" t="n"/>
      <c r="D36" s="96" t="n"/>
      <c r="E36" s="96" t="n"/>
      <c r="F36" s="96" t="n"/>
      <c r="G36" s="97" t="n"/>
      <c r="H36" s="99" t="n"/>
      <c r="I36" s="129" t="n"/>
      <c r="J36" s="129" t="n"/>
      <c r="K36" s="129" t="n"/>
      <c r="L36" s="119" t="n"/>
      <c r="M36" s="119" t="n"/>
      <c r="N36" s="119" t="n"/>
      <c r="O36" s="119" t="n"/>
      <c r="P36" s="119" t="n"/>
      <c r="Q36" s="119" t="n"/>
      <c r="R36" s="119" t="n"/>
      <c r="S36" s="119" t="n"/>
      <c r="T36" s="119" t="n"/>
      <c r="U36" s="119" t="n"/>
      <c r="V36" s="119" t="n"/>
      <c r="W36" s="214" t="n"/>
      <c r="X36" s="127">
        <f>COUNTIF(L36:V36,$R$48)+COUNTIF(L36:V36,$S$48)+COUNTIF(L36:V36,$M$48)+COUNTIF(L36:V36,$N$48)+COUNTIF(L36:V36,$O$48)+COUNTIF(L36:V36,$P$48)+COUNTIF(L36:V36,$Q$48)</f>
        <v/>
      </c>
    </row>
    <row r="37" ht="27.75" customHeight="1">
      <c r="A37" s="128" t="n"/>
      <c r="B37" s="360" t="n"/>
      <c r="C37" s="124" t="n"/>
      <c r="D37" s="96" t="n"/>
      <c r="E37" s="96" t="n"/>
      <c r="F37" s="96" t="n"/>
      <c r="G37" s="97" t="n"/>
      <c r="H37" s="98" t="n"/>
      <c r="I37" s="129" t="n"/>
      <c r="J37" s="129" t="n"/>
      <c r="K37" s="129" t="n"/>
      <c r="L37" s="119" t="n"/>
      <c r="M37" s="119" t="n"/>
      <c r="N37" s="119" t="n"/>
      <c r="O37" s="119" t="n"/>
      <c r="P37" s="119" t="n"/>
      <c r="Q37" s="119" t="n"/>
      <c r="R37" s="119" t="n"/>
      <c r="S37" s="119" t="n"/>
      <c r="T37" s="119" t="n"/>
      <c r="U37" s="119" t="n"/>
      <c r="V37" s="119" t="n"/>
      <c r="W37" s="89" t="n"/>
      <c r="X37" s="127">
        <f>COUNTIF(L37:V37,$R$48)+COUNTIF(L37:V37,$S$48)+COUNTIF(L37:V37,$M$48)+COUNTIF(L37:V37,$N$48)+COUNTIF(L37:V37,$O$48)+COUNTIF(L37:V37,$P$48)+COUNTIF(L37:V37,$Q$48)</f>
        <v/>
      </c>
    </row>
    <row r="38" ht="27.75" customHeight="1">
      <c r="A38" s="122" t="inlineStr">
        <is>
          <t>LOSS PREVENTION</t>
        </is>
      </c>
      <c r="B38" s="360" t="n"/>
      <c r="C38" s="124" t="n"/>
      <c r="D38" s="96" t="n"/>
      <c r="E38" s="96" t="n"/>
      <c r="F38" s="96" t="n"/>
      <c r="G38" s="97" t="n"/>
      <c r="H38" s="98" t="n"/>
      <c r="I38" s="129" t="n"/>
      <c r="J38" s="129" t="n"/>
      <c r="K38" s="129" t="n"/>
      <c r="L38" s="119" t="n"/>
      <c r="M38" s="119" t="n"/>
      <c r="N38" s="119" t="n"/>
      <c r="O38" s="119" t="n"/>
      <c r="P38" s="119" t="n"/>
      <c r="Q38" s="119" t="n"/>
      <c r="R38" s="119" t="n"/>
      <c r="S38" s="119" t="n"/>
      <c r="T38" s="119" t="n"/>
      <c r="U38" s="119" t="n"/>
      <c r="V38" s="119" t="n"/>
      <c r="W38" s="89" t="n"/>
      <c r="X38" s="127">
        <f>COUNTIF(L38:V38,$R$48)+COUNTIF(L38:V38,$S$48)+COUNTIF(L38:V38,$M$48)+COUNTIF(L38:V38,$N$48)+COUNTIF(L38:V38,$O$48)+COUNTIF(L38:V38,$P$48)+COUNTIF(L38:V38,$Q$48)</f>
        <v/>
      </c>
    </row>
    <row r="39" ht="27.75" customHeight="1">
      <c r="A39" s="128" t="n"/>
      <c r="B39" s="360" t="n"/>
      <c r="C39" s="124" t="n"/>
      <c r="D39" s="96" t="n"/>
      <c r="E39" s="96" t="n"/>
      <c r="F39" s="96" t="n"/>
      <c r="G39" s="97" t="n"/>
      <c r="H39" s="98" t="n"/>
      <c r="I39" s="129" t="n"/>
      <c r="J39" s="129" t="n"/>
      <c r="K39" s="129" t="n"/>
      <c r="L39" s="119" t="n"/>
      <c r="M39" s="119" t="n"/>
      <c r="N39" s="119" t="n"/>
      <c r="O39" s="119" t="n"/>
      <c r="P39" s="119" t="n"/>
      <c r="Q39" s="119" t="n"/>
      <c r="R39" s="119" t="n"/>
      <c r="S39" s="119" t="n"/>
      <c r="T39" s="119" t="n"/>
      <c r="U39" s="119" t="n"/>
      <c r="V39" s="119" t="n"/>
      <c r="W39" s="89" t="n"/>
      <c r="X39" s="127">
        <f>COUNTIF(L39:V39,$R$48)+COUNTIF(L39:V39,$S$48)+COUNTIF(L39:V39,$M$48)+COUNTIF(L39:V39,$N$48)+COUNTIF(L39:V39,$O$48)+COUNTIF(L39:V39,$P$48)+COUNTIF(L39:V39,$Q$48)</f>
        <v/>
      </c>
    </row>
    <row r="40" ht="27.75" customHeight="1">
      <c r="A40" s="128" t="inlineStr">
        <is>
          <t>Acknowledge every consumer, ensure that front section is zoned</t>
        </is>
      </c>
      <c r="B40" s="360" t="n"/>
      <c r="C40" s="124" t="n"/>
      <c r="D40" s="96" t="n"/>
      <c r="E40" s="96" t="n"/>
      <c r="F40" s="96" t="n"/>
      <c r="G40" s="97" t="n"/>
      <c r="H40" s="98" t="n"/>
      <c r="I40" s="129" t="n"/>
      <c r="J40" s="129" t="n"/>
      <c r="K40" s="129" t="n"/>
      <c r="L40" s="119" t="n"/>
      <c r="M40" s="119" t="n"/>
      <c r="N40" s="119" t="n"/>
      <c r="O40" s="119" t="n"/>
      <c r="P40" s="119" t="n"/>
      <c r="Q40" s="119" t="n"/>
      <c r="R40" s="119" t="n"/>
      <c r="S40" s="119" t="n"/>
      <c r="T40" s="119" t="n"/>
      <c r="U40" s="119" t="n"/>
      <c r="V40" s="119" t="n"/>
      <c r="W40" s="89" t="n"/>
      <c r="X40" s="127">
        <f>COUNTIF(#REF!,$R$48)+COUNTIF(#REF!,$S$48)+COUNTIF(#REF!,$M$48)+COUNTIF(#REF!,$N$48)+COUNTIF(#REF!,$O$48)+COUNTIF(#REF!,$P$48)+COUNTIF(#REF!,$Q$48)</f>
        <v/>
      </c>
    </row>
    <row r="41" ht="27.75" customHeight="1">
      <c r="A41" s="122" t="inlineStr">
        <is>
          <t>MARKETING</t>
        </is>
      </c>
      <c r="B41" s="360" t="n"/>
      <c r="C41" s="124" t="n"/>
      <c r="D41" s="96" t="n"/>
      <c r="E41" s="96" t="n"/>
      <c r="F41" s="96" t="n"/>
      <c r="G41" s="97" t="n"/>
      <c r="H41" s="98" t="n"/>
      <c r="I41" s="129" t="n"/>
      <c r="J41" s="129" t="n"/>
      <c r="K41" s="129" t="n"/>
      <c r="L41" s="119" t="n"/>
      <c r="M41" s="119" t="n"/>
      <c r="N41" s="119" t="n"/>
      <c r="O41" s="119" t="n"/>
      <c r="P41" s="119" t="n"/>
      <c r="Q41" s="119" t="n"/>
      <c r="R41" s="119" t="n"/>
      <c r="S41" s="119" t="n"/>
      <c r="T41" s="119" t="n"/>
      <c r="U41" s="119" t="n"/>
      <c r="V41" s="119" t="n"/>
      <c r="W41" s="89" t="n"/>
      <c r="X41" s="127" t="n"/>
    </row>
    <row r="42" ht="27.75" customHeight="1">
      <c r="A42" s="128" t="inlineStr">
        <is>
          <t>Marketing Activation on September 4th Labour Day Weekend</t>
        </is>
      </c>
      <c r="B42" s="360" t="n"/>
      <c r="C42" s="124" t="n"/>
      <c r="D42" s="96" t="n"/>
      <c r="E42" s="96" t="n"/>
      <c r="F42" s="96" t="n"/>
      <c r="G42" s="97" t="n"/>
      <c r="H42" s="98" t="n"/>
      <c r="I42" s="129" t="n"/>
      <c r="J42" s="129" t="n"/>
      <c r="K42" s="129" t="n"/>
      <c r="L42" s="119" t="n"/>
      <c r="M42" s="119" t="n"/>
      <c r="N42" s="119" t="n"/>
      <c r="O42" s="119" t="n"/>
      <c r="P42" s="119" t="n"/>
      <c r="Q42" s="119" t="n"/>
      <c r="R42" s="119" t="n"/>
      <c r="S42" s="119" t="n"/>
      <c r="T42" s="119" t="n"/>
      <c r="U42" s="119" t="n"/>
      <c r="V42" s="119" t="n"/>
      <c r="W42" s="89" t="n"/>
      <c r="X42" s="131" t="n"/>
    </row>
    <row r="43" ht="27.75" customHeight="1">
      <c r="A43" s="128" t="inlineStr">
        <is>
          <t>GWP Carryall - Spend $149 pre-tax. Use redemption code on Xstore</t>
        </is>
      </c>
      <c r="B43" s="360" t="n"/>
      <c r="C43" s="124" t="n"/>
      <c r="D43" s="96" t="n"/>
      <c r="E43" s="96" t="n"/>
      <c r="F43" s="96" t="n"/>
      <c r="G43" s="97" t="n"/>
      <c r="H43" s="132" t="n"/>
      <c r="I43" s="136" t="n"/>
      <c r="J43" s="248" t="n"/>
      <c r="K43" s="248" t="n"/>
      <c r="L43" s="119" t="n"/>
      <c r="M43" s="119" t="n"/>
      <c r="N43" s="119" t="n"/>
      <c r="O43" s="119" t="n"/>
      <c r="P43" s="119" t="n"/>
      <c r="Q43" s="119" t="n"/>
      <c r="R43" s="119" t="n"/>
      <c r="S43" s="119" t="n"/>
      <c r="T43" s="119" t="n"/>
      <c r="U43" s="119" t="n"/>
      <c r="V43" s="119" t="n"/>
      <c r="W43" s="144" t="n"/>
      <c r="X43" s="134" t="n"/>
    </row>
    <row r="44" ht="27.75" customHeight="1">
      <c r="A44" s="122" t="inlineStr">
        <is>
          <t>OTHER</t>
        </is>
      </c>
      <c r="B44" s="360" t="n"/>
      <c r="C44" s="124" t="n"/>
      <c r="D44" s="96" t="n"/>
      <c r="E44" s="96" t="n"/>
      <c r="F44" s="96" t="n"/>
      <c r="G44" s="97" t="n"/>
      <c r="H44" s="135" t="n"/>
      <c r="I44" s="137" t="n"/>
      <c r="J44" s="137" t="n"/>
      <c r="K44" s="137" t="n"/>
      <c r="L44" s="141" t="n"/>
      <c r="M44" s="141" t="n"/>
      <c r="N44" s="141" t="n"/>
      <c r="O44" s="141" t="n"/>
      <c r="P44" s="141" t="n"/>
      <c r="Q44" s="141" t="n"/>
      <c r="R44" s="141" t="n"/>
      <c r="S44" s="141" t="n"/>
      <c r="T44" s="141" t="n"/>
      <c r="U44" s="141" t="n"/>
      <c r="V44" s="141" t="n"/>
      <c r="W44" s="151" t="n"/>
      <c r="X44" s="134" t="n"/>
    </row>
    <row r="45" ht="27.75" customHeight="1">
      <c r="A45" s="128" t="inlineStr">
        <is>
          <t>New August Incentive - 3 tiers!</t>
        </is>
      </c>
      <c r="B45" s="360" t="n"/>
      <c r="C45" s="124" t="n"/>
      <c r="D45" s="96" t="n"/>
      <c r="E45" s="96" t="n"/>
      <c r="F45" s="96" t="n"/>
      <c r="G45" s="97" t="n"/>
      <c r="H45" s="135" t="n"/>
      <c r="I45" s="137" t="n"/>
      <c r="J45" s="137" t="n"/>
      <c r="K45" s="137" t="n"/>
      <c r="L45" s="148" t="n"/>
      <c r="M45" s="148" t="n"/>
      <c r="N45" s="148" t="n"/>
      <c r="O45" s="148" t="n"/>
      <c r="P45" s="148" t="n"/>
      <c r="Q45" s="148" t="n"/>
      <c r="R45" s="148" t="n"/>
      <c r="S45" s="148" t="n"/>
      <c r="T45" s="148" t="n"/>
      <c r="U45" s="148" t="n"/>
      <c r="V45" s="148" t="n"/>
      <c r="W45" s="151" t="n"/>
      <c r="X45" s="134" t="n"/>
    </row>
    <row r="46" ht="27.75" customHeight="1">
      <c r="A46" s="139" t="n"/>
      <c r="B46" s="374" t="n"/>
      <c r="C46" s="124" t="n"/>
      <c r="D46" s="96" t="n"/>
      <c r="E46" s="96" t="n"/>
      <c r="F46" s="96" t="n"/>
      <c r="G46" s="97" t="n"/>
      <c r="H46" s="135" t="n"/>
      <c r="I46" s="137" t="n"/>
      <c r="J46" s="137" t="n"/>
      <c r="K46" s="137" t="n"/>
      <c r="L46" s="148" t="n"/>
      <c r="M46" s="148" t="n"/>
      <c r="N46" s="148" t="n"/>
      <c r="O46" s="148" t="n"/>
      <c r="P46" s="148" t="n"/>
      <c r="Q46" s="148" t="n"/>
      <c r="R46" s="148" t="n"/>
      <c r="S46" s="148" t="n"/>
      <c r="T46" s="148" t="n"/>
      <c r="U46" s="148" t="n"/>
      <c r="V46" s="148" t="n"/>
      <c r="W46" s="151" t="n"/>
      <c r="X46" s="134" t="n"/>
    </row>
    <row r="47" ht="26.25" customHeight="1">
      <c r="A47" s="145" t="n"/>
      <c r="B47" s="146" t="n"/>
      <c r="C47" s="124" t="n"/>
      <c r="D47" s="147" t="n"/>
      <c r="E47" s="147" t="n"/>
      <c r="F47" s="147" t="n"/>
      <c r="G47" s="147" t="n"/>
      <c r="H47" s="159" t="n"/>
      <c r="I47" s="135" t="inlineStr">
        <is>
          <t>SELECT</t>
        </is>
      </c>
      <c r="J47" s="137" t="n"/>
      <c r="K47" s="137" t="n"/>
      <c r="L47" s="148" t="n"/>
      <c r="M47" s="148" t="n"/>
      <c r="N47" s="148" t="n"/>
      <c r="O47" s="148" t="n"/>
      <c r="P47" s="148" t="n"/>
      <c r="Q47" s="148" t="n"/>
      <c r="R47" s="148" t="n"/>
      <c r="S47" s="148" t="n"/>
      <c r="T47" s="148" t="n"/>
      <c r="U47" s="148" t="n"/>
      <c r="V47" s="148" t="n"/>
      <c r="W47" s="2" t="n"/>
      <c r="X47" s="134" t="n"/>
    </row>
    <row r="48" ht="26.25" customHeight="1">
      <c r="A48" s="145" t="n"/>
      <c r="B48" s="146" t="n"/>
      <c r="C48" s="124" t="n"/>
      <c r="D48" s="147" t="n"/>
      <c r="E48" s="147" t="n"/>
      <c r="F48" s="147" t="n"/>
      <c r="G48" s="147" t="n"/>
      <c r="H48" s="159" t="n"/>
      <c r="I48" s="64" t="n"/>
      <c r="J48" s="64" t="n"/>
      <c r="K48" s="64" t="n"/>
      <c r="L48" s="192" t="inlineStr">
        <is>
          <t>CEL</t>
        </is>
      </c>
      <c r="M48" s="153" t="inlineStr">
        <is>
          <t>MENS</t>
        </is>
      </c>
      <c r="N48" s="153" t="inlineStr">
        <is>
          <t>WOMENS</t>
        </is>
      </c>
      <c r="O48" s="153" t="inlineStr">
        <is>
          <t>FLEX</t>
        </is>
      </c>
      <c r="P48" s="153" t="inlineStr">
        <is>
          <t>STYLIST</t>
        </is>
      </c>
      <c r="Q48" s="193" t="inlineStr">
        <is>
          <t>CASH</t>
        </is>
      </c>
      <c r="R48" s="193" t="inlineStr">
        <is>
          <t>FITS</t>
        </is>
      </c>
      <c r="S48" s="193" t="inlineStr">
        <is>
          <t>GREET</t>
        </is>
      </c>
      <c r="T48" s="194" t="inlineStr">
        <is>
          <t>OFFICE</t>
        </is>
      </c>
      <c r="U48" s="194" t="inlineStr">
        <is>
          <t>TASK</t>
        </is>
      </c>
      <c r="V48" s="194" t="inlineStr">
        <is>
          <t>SHIPMENT</t>
        </is>
      </c>
      <c r="W48" s="2" t="n"/>
      <c r="X48" s="134" t="n"/>
    </row>
    <row r="49" ht="26.25" customHeight="1">
      <c r="A49" s="145" t="n"/>
      <c r="B49" s="146" t="n"/>
      <c r="C49" s="124" t="n"/>
      <c r="D49" s="147" t="n"/>
      <c r="E49" s="147" t="n"/>
      <c r="F49" s="147" t="n"/>
      <c r="G49" s="147" t="n"/>
      <c r="H49" s="159" t="n"/>
      <c r="I49" s="64" t="n"/>
      <c r="J49" s="64" t="n"/>
      <c r="K49" s="64" t="n"/>
      <c r="L49" s="68" t="n"/>
      <c r="M49" s="68" t="n"/>
      <c r="N49" s="68" t="n"/>
      <c r="O49" s="68" t="n"/>
      <c r="P49" s="68" t="n"/>
      <c r="Q49" s="68" t="n"/>
      <c r="R49" s="68" t="n"/>
      <c r="S49" s="68" t="n"/>
      <c r="T49" s="68" t="n"/>
      <c r="U49" s="68" t="n"/>
      <c r="V49" s="68" t="n"/>
      <c r="W49" s="2" t="n"/>
      <c r="X49" s="134" t="n"/>
    </row>
    <row r="50" ht="17.25" customHeight="1">
      <c r="A50" s="159" t="n"/>
      <c r="B50" s="2" t="n"/>
      <c r="C50" s="124" t="n"/>
      <c r="D50" s="159" t="n"/>
      <c r="E50" s="159" t="n"/>
      <c r="F50" s="159" t="n"/>
      <c r="G50" s="159" t="n"/>
      <c r="H50" s="159" t="n"/>
      <c r="I50" s="64" t="n"/>
      <c r="J50" s="64" t="n"/>
      <c r="K50" s="64" t="n"/>
      <c r="L50" s="68" t="n"/>
      <c r="M50" s="68" t="n"/>
      <c r="N50" s="68" t="n"/>
      <c r="O50" s="68" t="n"/>
      <c r="P50" s="68" t="n"/>
      <c r="Q50" s="68" t="n"/>
      <c r="R50" s="68" t="n"/>
      <c r="S50" s="68" t="n"/>
      <c r="T50" s="68" t="n"/>
      <c r="U50" s="68" t="n"/>
      <c r="V50" s="68" t="n"/>
      <c r="W50" s="2" t="n"/>
      <c r="X50" s="158">
        <f>COUNTIF(#REF!,$R$48)+COUNTIF(#REF!,$S$48)+COUNTIF(#REF!,$M$48)+COUNTIF(#REF!,$N$48)+COUNTIF(#REF!,$O$48)+COUNTIF(#REF!,$P$48)+COUNTIF(#REF!,$Q$48)</f>
        <v/>
      </c>
    </row>
  </sheetData>
  <mergeCells count="41">
    <mergeCell ref="A24:B24"/>
    <mergeCell ref="G8:G18"/>
    <mergeCell ref="A30:B30"/>
    <mergeCell ref="D6:D18"/>
    <mergeCell ref="H10:I10"/>
    <mergeCell ref="A45:B45"/>
    <mergeCell ref="A36:B36"/>
    <mergeCell ref="H4:I4"/>
    <mergeCell ref="H9:I9"/>
    <mergeCell ref="F8:F18"/>
    <mergeCell ref="H6:I6"/>
    <mergeCell ref="A41:B41"/>
    <mergeCell ref="A37:B37"/>
    <mergeCell ref="A46:B46"/>
    <mergeCell ref="H1:W1"/>
    <mergeCell ref="H11:I11"/>
    <mergeCell ref="A2:B2"/>
    <mergeCell ref="A21:B21"/>
    <mergeCell ref="H7:I7"/>
    <mergeCell ref="A33:B33"/>
    <mergeCell ref="A42:B42"/>
    <mergeCell ref="A32:B32"/>
    <mergeCell ref="A14:B14"/>
    <mergeCell ref="H13:I13"/>
    <mergeCell ref="A22:B22"/>
    <mergeCell ref="H3:I3"/>
    <mergeCell ref="A35:B35"/>
    <mergeCell ref="H12:I12"/>
    <mergeCell ref="A38:B38"/>
    <mergeCell ref="H8:I8"/>
    <mergeCell ref="A43:B43"/>
    <mergeCell ref="E8:E18"/>
    <mergeCell ref="A28:B28"/>
    <mergeCell ref="H5:I5"/>
    <mergeCell ref="A44:B44"/>
    <mergeCell ref="H14:I14"/>
    <mergeCell ref="H2:W2"/>
    <mergeCell ref="H16:W16"/>
    <mergeCell ref="A39:B39"/>
    <mergeCell ref="A34:B34"/>
    <mergeCell ref="A40:B4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/>
    <pageSetUpPr/>
  </sheetPr>
  <dimension ref="A1:X62"/>
  <sheetViews>
    <sheetView workbookViewId="0">
      <selection activeCell="A1" sqref="A1"/>
    </sheetView>
  </sheetViews>
  <sheetFormatPr baseColWidth="8" defaultRowHeight="15"/>
  <cols>
    <col width="40.86214285714286" bestFit="1" customWidth="1" style="159" min="1" max="1"/>
    <col width="34.57642857142857" bestFit="1" customWidth="1" style="160" min="2" max="2"/>
    <col width="1.576428571428571" bestFit="1" customWidth="1" style="195" min="3" max="3"/>
    <col width="5.147857142857143" bestFit="1" customWidth="1" style="159" min="4" max="4"/>
    <col width="5.147857142857143" bestFit="1" customWidth="1" style="159" min="5" max="5"/>
    <col width="5.147857142857143" bestFit="1" customWidth="1" style="159" min="6" max="6"/>
    <col width="5.147857142857143" bestFit="1" customWidth="1" style="159" min="7" max="7"/>
    <col width="5.147857142857143" bestFit="1" customWidth="1" style="159" min="8" max="8"/>
    <col width="29.005" bestFit="1" customWidth="1" style="159" min="9" max="9"/>
    <col width="21.005" bestFit="1" customWidth="1" style="196" min="10" max="10"/>
    <col width="15.57642857142857" bestFit="1" customWidth="1" style="160" min="11" max="11"/>
    <col width="15.57642857142857" bestFit="1" customWidth="1" style="164" min="12" max="12"/>
    <col width="15.57642857142857" bestFit="1" customWidth="1" style="164" min="13" max="13"/>
    <col width="15.57642857142857" bestFit="1" customWidth="1" style="164" min="14" max="14"/>
    <col width="15.57642857142857" bestFit="1" customWidth="1" style="164" min="15" max="15"/>
    <col width="15.57642857142857" bestFit="1" customWidth="1" style="164" min="16" max="16"/>
    <col width="15.57642857142857" bestFit="1" customWidth="1" style="164" min="17" max="17"/>
    <col width="15.57642857142857" bestFit="1" customWidth="1" style="164" min="18" max="18"/>
    <col width="15.57642857142857" bestFit="1" customWidth="1" style="164" min="19" max="19"/>
    <col width="15.57642857142857" bestFit="1" customWidth="1" style="164" min="20" max="20"/>
    <col width="15.57642857142857" bestFit="1" customWidth="1" style="164" min="21" max="21"/>
    <col width="15.57642857142857" bestFit="1" customWidth="1" style="164" min="22" max="22"/>
    <col width="34.86214285714286" bestFit="1" customWidth="1" style="166" min="23" max="23"/>
    <col hidden="1" width="12.43357142857143" bestFit="1" customWidth="1" style="195" min="24" max="24"/>
  </cols>
  <sheetData>
    <row r="1" ht="90.75" customHeight="1">
      <c r="A1" s="159" t="n"/>
      <c r="B1" s="2" t="n"/>
      <c r="C1" s="3" t="n"/>
      <c r="D1" s="159" t="n"/>
      <c r="E1" s="168" t="n"/>
      <c r="F1" s="159" t="n"/>
      <c r="G1" s="159" t="n"/>
      <c r="H1" s="159" t="n"/>
      <c r="I1" s="5" t="n"/>
      <c r="X1" s="11" t="n"/>
    </row>
    <row r="2" ht="32.25" customHeight="1">
      <c r="A2" s="12" t="inlineStr">
        <is>
          <t xml:space="preserve"> </t>
        </is>
      </c>
      <c r="B2" s="370" t="n"/>
      <c r="C2" s="3" t="n"/>
      <c r="D2" s="159" t="n"/>
      <c r="E2" s="159" t="n"/>
      <c r="F2" s="159" t="n"/>
      <c r="G2" s="159" t="n"/>
      <c r="H2" s="159" t="n"/>
      <c r="I2" s="14" t="inlineStr">
        <is>
          <t>H O U R L Y   S E G M E N T S</t>
        </is>
      </c>
      <c r="J2" s="361" t="n"/>
      <c r="K2" s="361" t="n"/>
      <c r="L2" s="361" t="n"/>
      <c r="M2" s="361" t="n"/>
      <c r="N2" s="361" t="n"/>
      <c r="O2" s="361" t="n"/>
      <c r="P2" s="361" t="n"/>
      <c r="Q2" s="361" t="n"/>
      <c r="R2" s="361" t="n"/>
      <c r="S2" s="361" t="n"/>
      <c r="T2" s="361" t="n"/>
      <c r="U2" s="361" t="n"/>
      <c r="V2" s="361" t="n"/>
      <c r="W2" s="362" t="n"/>
      <c r="X2" s="3" t="n"/>
    </row>
    <row r="3" ht="27.75" customHeight="1">
      <c r="A3" s="20" t="inlineStr">
        <is>
          <t>DATE</t>
        </is>
      </c>
      <c r="B3" s="170" t="inlineStr">
        <is>
          <t>05.24.2025</t>
        </is>
      </c>
      <c r="C3" s="3" t="n"/>
      <c r="D3" s="159" t="n"/>
      <c r="E3" s="159" t="n"/>
      <c r="F3" s="159" t="n"/>
      <c r="G3" s="159" t="n"/>
      <c r="H3" s="159" t="n"/>
      <c r="I3" s="23" t="inlineStr">
        <is>
          <t>HOURS OF OPERATIONS</t>
        </is>
      </c>
      <c r="J3" s="362" t="n"/>
      <c r="K3" s="25" t="inlineStr">
        <is>
          <t>9am - 10am</t>
        </is>
      </c>
      <c r="L3" s="25" t="inlineStr">
        <is>
          <t>10am - 11am</t>
        </is>
      </c>
      <c r="M3" s="25" t="inlineStr">
        <is>
          <t>11am - 12pm</t>
        </is>
      </c>
      <c r="N3" s="25" t="inlineStr">
        <is>
          <t>12pm - 1pm</t>
        </is>
      </c>
      <c r="O3" s="25" t="inlineStr">
        <is>
          <t>1pm - 2pm</t>
        </is>
      </c>
      <c r="P3" s="25" t="inlineStr">
        <is>
          <t>2pm - 3pm</t>
        </is>
      </c>
      <c r="Q3" s="25" t="inlineStr">
        <is>
          <t>3pm - 4pm</t>
        </is>
      </c>
      <c r="R3" s="25" t="inlineStr">
        <is>
          <t>4pm - 5pm</t>
        </is>
      </c>
      <c r="S3" s="25" t="inlineStr">
        <is>
          <t>5pm - 6pm</t>
        </is>
      </c>
      <c r="T3" s="25" t="inlineStr">
        <is>
          <t>6pm - 7pm</t>
        </is>
      </c>
      <c r="U3" s="25" t="inlineStr">
        <is>
          <t>7pm - 8pm</t>
        </is>
      </c>
      <c r="V3" s="25" t="inlineStr">
        <is>
          <t>8pm - 9pm</t>
        </is>
      </c>
      <c r="W3" s="27">
        <f>SUM(L4:V4)</f>
        <v/>
      </c>
      <c r="X3" s="3" t="n"/>
    </row>
    <row r="4" ht="27.75" customHeight="1">
      <c r="A4" s="30" t="inlineStr">
        <is>
          <t>DAY SALES TARGET</t>
        </is>
      </c>
      <c r="B4" s="31" t="n">
        <v>23898</v>
      </c>
      <c r="C4" s="32" t="n"/>
      <c r="D4" s="33" t="n"/>
      <c r="E4" s="33" t="n"/>
      <c r="F4" s="33" t="n"/>
      <c r="G4" s="33" t="n"/>
      <c r="H4" s="33" t="n"/>
      <c r="I4" s="34" t="inlineStr">
        <is>
          <t>HOURLY SALES CONTRIBUTION %</t>
        </is>
      </c>
      <c r="J4" s="368" t="n"/>
      <c r="K4" s="36" t="n">
        <v>0</v>
      </c>
      <c r="L4" s="36" t="n">
        <v>0.03</v>
      </c>
      <c r="M4" s="36" t="n">
        <v>0.06</v>
      </c>
      <c r="N4" s="36" t="n">
        <v>0.11</v>
      </c>
      <c r="O4" s="36" t="n">
        <v>0.13</v>
      </c>
      <c r="P4" s="36" t="n">
        <v>0.14</v>
      </c>
      <c r="Q4" s="36" t="n">
        <v>0.14</v>
      </c>
      <c r="R4" s="36" t="n">
        <v>0.14</v>
      </c>
      <c r="S4" s="36" t="n">
        <v>0.11</v>
      </c>
      <c r="T4" s="36" t="n">
        <v>0.07000000000000001</v>
      </c>
      <c r="U4" s="36" t="n">
        <v>0.05</v>
      </c>
      <c r="V4" s="36" t="n">
        <v>0.02</v>
      </c>
      <c r="W4" s="37" t="inlineStr">
        <is>
          <t>NOTES &amp; OBSERVATIONS
Complete throughout the day</t>
        </is>
      </c>
      <c r="X4" s="28" t="n"/>
    </row>
    <row r="5" ht="27.75" customHeight="1">
      <c r="A5" s="30" t="inlineStr">
        <is>
          <t>STRETCH TARGET</t>
        </is>
      </c>
      <c r="B5" s="31" t="n">
        <v>24000</v>
      </c>
      <c r="C5" s="3" t="n"/>
      <c r="D5" s="33" t="n"/>
      <c r="E5" s="33" t="n"/>
      <c r="F5" s="33" t="n"/>
      <c r="G5" s="33" t="n"/>
      <c r="H5" s="33" t="n"/>
      <c r="I5" s="34" t="inlineStr">
        <is>
          <t>CUMULATIVE SALES TARGET</t>
        </is>
      </c>
      <c r="J5" s="368" t="n"/>
      <c r="K5" s="38">
        <f>K4*B4</f>
        <v/>
      </c>
      <c r="L5" s="38">
        <f>SUM(K$4:L$4)*$B$4</f>
        <v/>
      </c>
      <c r="M5" s="38">
        <f>SUM(K4:M4)*$B$4</f>
        <v/>
      </c>
      <c r="N5" s="38">
        <f>SUM(K4:N4)*$B$4</f>
        <v/>
      </c>
      <c r="O5" s="38">
        <f>SUM(K4:O4)*$B$4</f>
        <v/>
      </c>
      <c r="P5" s="38">
        <f>SUM(K4:P4)*$B$4</f>
        <v/>
      </c>
      <c r="Q5" s="38">
        <f>SUM(K4:Q4)*$B$4</f>
        <v/>
      </c>
      <c r="R5" s="38">
        <f>SUM(K4:R4)*$B$4</f>
        <v/>
      </c>
      <c r="S5" s="38">
        <f>SUM(K4:S4)*$B$4</f>
        <v/>
      </c>
      <c r="T5" s="38">
        <f>SUM(K4:T4)*$B$4</f>
        <v/>
      </c>
      <c r="U5" s="38">
        <f>SUM(K4:U4)*$B$4</f>
        <v/>
      </c>
      <c r="V5" s="38">
        <f>SUM(K4:V4)*$B$4</f>
        <v/>
      </c>
      <c r="W5" s="39" t="n"/>
      <c r="X5" s="28" t="n"/>
    </row>
    <row r="6" ht="27.75" customHeight="1">
      <c r="A6" s="30" t="inlineStr">
        <is>
          <t>LAST YEAR SALES</t>
        </is>
      </c>
      <c r="B6" s="31" t="n">
        <v>21000</v>
      </c>
      <c r="C6" s="40">
        <f>B5/B4</f>
        <v/>
      </c>
      <c r="D6" s="43" t="inlineStr">
        <is>
          <t>LEARNING LAB: BEHAVIOURS &amp; OBSERVATIONS</t>
        </is>
      </c>
      <c r="E6" s="41" t="n"/>
      <c r="F6" s="41" t="n"/>
      <c r="G6" s="41" t="n"/>
      <c r="H6" s="41" t="n"/>
      <c r="I6" s="34" t="inlineStr">
        <is>
          <t>CUMULATIVE STRETCH TARGET</t>
        </is>
      </c>
      <c r="J6" s="368" t="n"/>
      <c r="K6" s="38">
        <f>K4*B5</f>
        <v/>
      </c>
      <c r="L6" s="38">
        <f>SUM(K4:L4)*$B$5</f>
        <v/>
      </c>
      <c r="M6" s="38">
        <f>SUM(K4:M4)*$B$5</f>
        <v/>
      </c>
      <c r="N6" s="38">
        <f>SUM(K4:N4)*$B$5</f>
        <v/>
      </c>
      <c r="O6" s="38">
        <f>SUM(K4:O4)*$B$5</f>
        <v/>
      </c>
      <c r="P6" s="38">
        <f>SUM(K4:P4)*$B$5</f>
        <v/>
      </c>
      <c r="Q6" s="38">
        <f>SUM(K4:Q4)*$B$5</f>
        <v/>
      </c>
      <c r="R6" s="38">
        <f>SUM(K4:R4)*$B$5</f>
        <v/>
      </c>
      <c r="S6" s="38">
        <f>SUM(K4:S4)*$B$5</f>
        <v/>
      </c>
      <c r="T6" s="38">
        <f>SUM(K4:T4)*$B$5</f>
        <v/>
      </c>
      <c r="U6" s="38">
        <f>SUM(K4:U4)*$B$5</f>
        <v/>
      </c>
      <c r="V6" s="38">
        <f>SUM(K4:V4)*$B$5</f>
        <v/>
      </c>
      <c r="W6" s="39" t="n"/>
      <c r="X6" s="28" t="n"/>
    </row>
    <row r="7" ht="27.75" customHeight="1">
      <c r="A7" s="30" t="inlineStr">
        <is>
          <t>LAST YEAR TRAFFIC</t>
        </is>
      </c>
      <c r="B7" s="42" t="n">
        <v>1500</v>
      </c>
      <c r="C7" s="3" t="n"/>
      <c r="E7" s="33" t="n"/>
      <c r="F7" s="33" t="n"/>
      <c r="G7" s="33" t="n"/>
      <c r="H7" s="33" t="n"/>
      <c r="I7" s="44" t="inlineStr">
        <is>
          <t>CUMULATIVE SALES ACTUAL</t>
        </is>
      </c>
      <c r="J7" s="368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171" t="n"/>
      <c r="W7" s="39" t="n"/>
      <c r="X7" s="28" t="n"/>
    </row>
    <row r="8" ht="27.75" customHeight="1">
      <c r="A8" s="30" t="inlineStr">
        <is>
          <t>CURRENT TRAFFIC TREND (+/-)</t>
        </is>
      </c>
      <c r="B8" s="46" t="n">
        <v>0.05</v>
      </c>
      <c r="C8" s="3" t="n"/>
      <c r="E8" s="43" t="inlineStr">
        <is>
          <t>1ST BREAK TAKEN</t>
        </is>
      </c>
      <c r="F8" s="43" t="inlineStr">
        <is>
          <t>2ND BREAK TAKEN (IF APPLICABLE)</t>
        </is>
      </c>
      <c r="G8" s="43" t="inlineStr">
        <is>
          <t>SMART GOAL</t>
        </is>
      </c>
      <c r="H8" s="43" t="inlineStr">
        <is>
          <t>CHAT OUT</t>
        </is>
      </c>
      <c r="I8" s="44" t="inlineStr">
        <is>
          <t>TRAFFIC</t>
        </is>
      </c>
      <c r="J8" s="368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172" t="n"/>
      <c r="W8" s="39" t="n"/>
      <c r="X8" s="28" t="n"/>
    </row>
    <row r="9" ht="27.75" customHeight="1">
      <c r="A9" s="30" t="inlineStr">
        <is>
          <t>PROJECTED TRAFFIC</t>
        </is>
      </c>
      <c r="B9" s="48" t="n">
        <v>2000</v>
      </c>
      <c r="C9" s="3" t="n"/>
      <c r="I9" s="44" t="inlineStr">
        <is>
          <t>TRANSACTIONS</t>
        </is>
      </c>
      <c r="J9" s="368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172" t="n"/>
      <c r="W9" s="39" t="n"/>
      <c r="X9" s="28" t="n"/>
    </row>
    <row r="10" ht="27.75" customHeight="1">
      <c r="A10" s="30" t="inlineStr">
        <is>
          <t>TRANSACTION GOAL</t>
        </is>
      </c>
      <c r="B10" s="48" t="n"/>
      <c r="C10" s="3" t="n"/>
      <c r="I10" s="44" t="inlineStr">
        <is>
          <t>CONVERSION</t>
        </is>
      </c>
      <c r="J10" s="368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173" t="n"/>
      <c r="W10" s="39" t="n"/>
      <c r="X10" s="28" t="n"/>
    </row>
    <row r="11" ht="27.75" customHeight="1">
      <c r="A11" s="30" t="inlineStr">
        <is>
          <t>CONVERSION TARGET</t>
        </is>
      </c>
      <c r="B11" s="46" t="n">
        <v>0.2</v>
      </c>
      <c r="C11" s="29" t="n"/>
      <c r="I11" s="44" t="inlineStr">
        <is>
          <t>UPT</t>
        </is>
      </c>
      <c r="J11" s="368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174" t="n"/>
      <c r="W11" s="51" t="n"/>
      <c r="X11" s="28" t="n"/>
    </row>
    <row r="12" ht="27.75" customHeight="1">
      <c r="A12" s="30" t="inlineStr">
        <is>
          <t>UPT</t>
        </is>
      </c>
      <c r="B12" s="52" t="n">
        <v>2.3</v>
      </c>
      <c r="C12" s="29" t="n"/>
      <c r="I12" s="44" t="inlineStr">
        <is>
          <t>ATV</t>
        </is>
      </c>
      <c r="J12" s="368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171" t="n"/>
      <c r="W12" s="51" t="n"/>
      <c r="X12" s="28" t="n"/>
    </row>
    <row r="13" ht="27.75" customHeight="1">
      <c r="A13" s="53" t="inlineStr">
        <is>
          <t>ATV</t>
        </is>
      </c>
      <c r="B13" s="54" t="n">
        <v>81</v>
      </c>
      <c r="C13" s="3" t="n"/>
      <c r="I13" s="44" t="inlineStr">
        <is>
          <t>OTHER: _________________</t>
        </is>
      </c>
      <c r="J13" s="368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171" t="n"/>
      <c r="W13" s="51" t="n"/>
      <c r="X13" s="56" t="n"/>
    </row>
    <row r="14" ht="27.75" customHeight="1">
      <c r="A14" s="57" t="inlineStr">
        <is>
          <t>M O N T H   T O   D A T E   P E R F O R M A N C E</t>
        </is>
      </c>
      <c r="B14" s="371" t="n"/>
      <c r="C14" s="3" t="n"/>
      <c r="I14" s="59" t="inlineStr">
        <is>
          <t>CEL SIGN-OFF (INITIALS)</t>
        </is>
      </c>
      <c r="J14" s="372" t="n"/>
      <c r="K14" s="61" t="n"/>
      <c r="L14" s="61" t="n"/>
      <c r="M14" s="61" t="n"/>
      <c r="N14" s="61" t="n"/>
      <c r="O14" s="61" t="n"/>
      <c r="P14" s="61" t="n"/>
      <c r="Q14" s="61" t="n"/>
      <c r="R14" s="61" t="n"/>
      <c r="S14" s="61" t="n"/>
      <c r="T14" s="61" t="n"/>
      <c r="U14" s="61" t="n"/>
      <c r="V14" s="61" t="n"/>
      <c r="W14" s="62" t="n"/>
      <c r="X14" s="56" t="n"/>
    </row>
    <row r="15" ht="27.75" customHeight="1">
      <c r="A15" s="20" t="inlineStr">
        <is>
          <t>MONTH SALES PLAN</t>
        </is>
      </c>
      <c r="B15" s="63" t="n">
        <v>453745</v>
      </c>
      <c r="C15" s="3" t="n"/>
      <c r="I15" s="159" t="n"/>
      <c r="J15" s="175" t="n"/>
      <c r="K15" s="68" t="n"/>
      <c r="L15" s="65" t="n"/>
      <c r="M15" s="65" t="n"/>
      <c r="N15" s="65" t="n"/>
      <c r="O15" s="65" t="n"/>
      <c r="P15" s="65" t="n"/>
      <c r="Q15" s="65" t="n"/>
      <c r="R15" s="65" t="n"/>
      <c r="S15" s="65" t="n"/>
      <c r="T15" s="65" t="n"/>
      <c r="U15" s="65" t="n"/>
      <c r="V15" s="65" t="n"/>
      <c r="W15" s="2" t="n"/>
      <c r="X15" s="56" t="n"/>
    </row>
    <row r="16" ht="27.75" customHeight="1">
      <c r="A16" s="30" t="inlineStr">
        <is>
          <t>MONTH TO DATE SALES</t>
        </is>
      </c>
      <c r="B16" s="176" t="n"/>
      <c r="C16" s="3" t="n"/>
      <c r="I16" s="69" t="inlineStr">
        <is>
          <t>Z O N E   C H A R T</t>
        </is>
      </c>
      <c r="J16" s="373" t="n"/>
      <c r="K16" s="373" t="n"/>
      <c r="L16" s="373" t="n"/>
      <c r="M16" s="373" t="n"/>
      <c r="N16" s="373" t="n"/>
      <c r="O16" s="373" t="n"/>
      <c r="P16" s="373" t="n"/>
      <c r="Q16" s="373" t="n"/>
      <c r="R16" s="373" t="n"/>
      <c r="S16" s="373" t="n"/>
      <c r="T16" s="373" t="n"/>
      <c r="U16" s="373" t="n"/>
      <c r="V16" s="373" t="n"/>
      <c r="W16" s="371" t="n"/>
      <c r="X16" s="56" t="n"/>
    </row>
    <row r="17" ht="27.75" customHeight="1">
      <c r="A17" s="30" t="inlineStr">
        <is>
          <t>% TO MONTH SALES PLAN</t>
        </is>
      </c>
      <c r="B17" s="31" t="n"/>
      <c r="C17" s="3" t="n"/>
      <c r="I17" s="177" t="inlineStr">
        <is>
          <t>Name</t>
        </is>
      </c>
      <c r="J17" s="75" t="inlineStr">
        <is>
          <t>Shift</t>
        </is>
      </c>
      <c r="K17" s="76">
        <f>K$3</f>
        <v/>
      </c>
      <c r="L17" s="178">
        <f>L$3</f>
        <v/>
      </c>
      <c r="M17" s="178">
        <f>M$3</f>
        <v/>
      </c>
      <c r="N17" s="178">
        <f>N$3</f>
        <v/>
      </c>
      <c r="O17" s="178">
        <f>O$3</f>
        <v/>
      </c>
      <c r="P17" s="178">
        <f>P$3</f>
        <v/>
      </c>
      <c r="Q17" s="178">
        <f>Q$3</f>
        <v/>
      </c>
      <c r="R17" s="178">
        <f>R$3</f>
        <v/>
      </c>
      <c r="S17" s="178">
        <f>S$3</f>
        <v/>
      </c>
      <c r="T17" s="178">
        <f>T$3</f>
        <v/>
      </c>
      <c r="U17" s="178">
        <f>U$3</f>
        <v/>
      </c>
      <c r="V17" s="178">
        <f>V$3</f>
        <v/>
      </c>
      <c r="W17" s="79" t="inlineStr">
        <is>
          <t>Sales Target</t>
        </is>
      </c>
      <c r="X17" s="56" t="n"/>
    </row>
    <row r="18" ht="27.75" customHeight="1">
      <c r="A18" s="30" t="n"/>
      <c r="B18" s="80" t="n"/>
      <c r="C18" s="3" t="n"/>
      <c r="D18" s="149" t="n"/>
      <c r="E18" s="149" t="n"/>
      <c r="F18" s="149" t="n"/>
      <c r="G18" s="149" t="n"/>
      <c r="H18" s="149" t="n"/>
      <c r="I18" s="98" t="inlineStr">
        <is>
          <t>RICKY</t>
        </is>
      </c>
      <c r="J18" s="99" t="inlineStr">
        <is>
          <t>9-530</t>
        </is>
      </c>
      <c r="K18" s="49" t="inlineStr">
        <is>
          <t>OFFICE</t>
        </is>
      </c>
      <c r="L18" s="87" t="inlineStr">
        <is>
          <t>CEL</t>
        </is>
      </c>
      <c r="M18" s="86" t="inlineStr">
        <is>
          <t>CEL</t>
        </is>
      </c>
      <c r="N18" s="86" t="inlineStr">
        <is>
          <t>CEL</t>
        </is>
      </c>
      <c r="O18" s="87" t="inlineStr">
        <is>
          <t>WOMENS</t>
        </is>
      </c>
      <c r="P18" s="179" t="inlineStr">
        <is>
          <t>WOMENS</t>
        </is>
      </c>
      <c r="Q18" s="179" t="inlineStr">
        <is>
          <t>CEL</t>
        </is>
      </c>
      <c r="R18" s="86" t="inlineStr">
        <is>
          <t>CEL</t>
        </is>
      </c>
      <c r="S18" s="45" t="n"/>
      <c r="T18" s="45" t="n"/>
      <c r="U18" s="45" t="n"/>
      <c r="V18" s="45" t="n"/>
      <c r="W18" s="89" t="n"/>
      <c r="X18" s="56" t="n"/>
    </row>
    <row r="19" ht="27.75" customHeight="1">
      <c r="A19" s="30" t="n"/>
      <c r="B19" s="80" t="n"/>
      <c r="C19" s="3" t="n"/>
      <c r="D19" s="149" t="n"/>
      <c r="E19" s="149" t="n"/>
      <c r="F19" s="149" t="n"/>
      <c r="G19" s="149" t="n"/>
      <c r="H19" s="149" t="n"/>
      <c r="I19" s="98" t="inlineStr">
        <is>
          <t>SABZ</t>
        </is>
      </c>
      <c r="J19" s="99" t="inlineStr">
        <is>
          <t>10-4</t>
        </is>
      </c>
      <c r="K19" s="45" t="n"/>
      <c r="L19" s="87" t="inlineStr">
        <is>
          <t>MENS</t>
        </is>
      </c>
      <c r="M19" s="86" t="inlineStr">
        <is>
          <t>FLEX</t>
        </is>
      </c>
      <c r="N19" s="86" t="inlineStr">
        <is>
          <t>FLEX</t>
        </is>
      </c>
      <c r="O19" s="125" t="n"/>
      <c r="P19" s="125" t="n"/>
      <c r="Q19" s="125" t="n"/>
      <c r="R19" s="45" t="n"/>
      <c r="S19" s="45" t="n"/>
      <c r="T19" s="45" t="n"/>
      <c r="U19" s="45" t="n"/>
      <c r="V19" s="45" t="n"/>
      <c r="W19" s="89" t="n"/>
      <c r="X19" s="56" t="n"/>
    </row>
    <row r="20" ht="27.75" customHeight="1">
      <c r="A20" s="30" t="n"/>
      <c r="B20" s="80" t="n"/>
      <c r="C20" s="3" t="n"/>
      <c r="D20" s="149" t="n"/>
      <c r="E20" s="149" t="n"/>
      <c r="F20" s="149" t="n"/>
      <c r="G20" s="149" t="n"/>
      <c r="H20" s="149" t="n"/>
      <c r="I20" s="98" t="inlineStr">
        <is>
          <t>EMILY</t>
        </is>
      </c>
      <c r="J20" s="99" t="inlineStr">
        <is>
          <t>10:15-3</t>
        </is>
      </c>
      <c r="K20" s="45" t="n"/>
      <c r="L20" s="180" t="inlineStr">
        <is>
          <t>FITS</t>
        </is>
      </c>
      <c r="M20" s="91" t="inlineStr">
        <is>
          <t>FITS</t>
        </is>
      </c>
      <c r="N20" s="92" t="inlineStr">
        <is>
          <t>FITS</t>
        </is>
      </c>
      <c r="O20" s="92" t="inlineStr">
        <is>
          <t>FITS</t>
        </is>
      </c>
      <c r="P20" s="49" t="inlineStr">
        <is>
          <t>MENS</t>
        </is>
      </c>
      <c r="Q20" s="45" t="n"/>
      <c r="R20" s="45" t="n"/>
      <c r="S20" s="45" t="n"/>
      <c r="T20" s="45" t="n"/>
      <c r="U20" s="45" t="n"/>
      <c r="V20" s="45" t="n"/>
      <c r="W20" s="89" t="n"/>
      <c r="X20" s="56" t="n"/>
    </row>
    <row r="21" hidden="1" ht="17.25" customHeight="1">
      <c r="A21" s="94" t="n"/>
      <c r="B21" s="95">
        <f>B15+#REF!</f>
        <v/>
      </c>
      <c r="C21" s="3" t="n"/>
      <c r="D21" s="96" t="n"/>
      <c r="E21" s="96" t="n"/>
      <c r="F21" s="96" t="n"/>
      <c r="G21" s="97" t="n"/>
      <c r="H21" s="97" t="n"/>
      <c r="I21" s="98" t="n"/>
      <c r="J21" s="99" t="inlineStr">
        <is>
          <t>11-4</t>
        </is>
      </c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89" t="n"/>
      <c r="X21" s="56" t="n"/>
    </row>
    <row r="22" hidden="1" ht="17.25" customHeight="1">
      <c r="A22" s="100" t="n"/>
      <c r="B22" s="101" t="n">
        <v>1</v>
      </c>
      <c r="C22" s="3" t="n"/>
      <c r="D22" s="96" t="n"/>
      <c r="E22" s="96" t="n"/>
      <c r="F22" s="96" t="n"/>
      <c r="G22" s="97" t="n"/>
      <c r="H22" s="97" t="n"/>
      <c r="I22" s="98" t="n"/>
      <c r="J22" s="129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89" t="n"/>
      <c r="X22" s="56" t="n"/>
    </row>
    <row r="23" ht="27.75" customHeight="1">
      <c r="A23" s="106" t="inlineStr">
        <is>
          <t>DENIM: 69.99 when you buy 2 or more</t>
        </is>
      </c>
      <c r="C23" s="3" t="n"/>
      <c r="D23" s="96" t="n"/>
      <c r="E23" s="96" t="n"/>
      <c r="F23" s="96" t="n"/>
      <c r="G23" s="97" t="n"/>
      <c r="H23" s="97" t="n"/>
      <c r="I23" s="98" t="inlineStr">
        <is>
          <t>LELAND</t>
        </is>
      </c>
      <c r="J23" s="99" t="inlineStr">
        <is>
          <t>11:15-4</t>
        </is>
      </c>
      <c r="K23" s="45" t="n"/>
      <c r="L23" s="45" t="n"/>
      <c r="M23" s="49" t="inlineStr">
        <is>
          <t>MENS</t>
        </is>
      </c>
      <c r="N23" s="115" t="inlineStr">
        <is>
          <t>CASH</t>
        </is>
      </c>
      <c r="O23" s="115" t="inlineStr">
        <is>
          <t>CASH</t>
        </is>
      </c>
      <c r="P23" s="115" t="inlineStr">
        <is>
          <t>CASH</t>
        </is>
      </c>
      <c r="Q23" s="115" t="inlineStr">
        <is>
          <t>CASH</t>
        </is>
      </c>
      <c r="R23" s="45" t="n"/>
      <c r="S23" s="45" t="n"/>
      <c r="T23" s="45" t="n"/>
      <c r="U23" s="45" t="n"/>
      <c r="V23" s="45" t="n"/>
      <c r="W23" s="89" t="n"/>
      <c r="X23" s="56" t="n"/>
    </row>
    <row r="24" ht="27.75" customHeight="1">
      <c r="A24" s="106" t="inlineStr">
        <is>
          <t xml:space="preserve">TOPS, OUTERWEAR, SHORTS: BOGO 50% </t>
        </is>
      </c>
      <c r="C24" s="3" t="n"/>
      <c r="D24" s="96" t="n"/>
      <c r="E24" s="96" t="n"/>
      <c r="F24" s="96" t="n"/>
      <c r="G24" s="97" t="n"/>
      <c r="H24" s="97" t="n"/>
      <c r="I24" s="98" t="inlineStr">
        <is>
          <t>RUPINDER</t>
        </is>
      </c>
      <c r="J24" s="99" t="inlineStr">
        <is>
          <t>11:15-4</t>
        </is>
      </c>
      <c r="K24" s="45" t="n"/>
      <c r="L24" s="45" t="n"/>
      <c r="M24" s="49" t="inlineStr">
        <is>
          <t>WOMENS</t>
        </is>
      </c>
      <c r="N24" s="93" t="n"/>
      <c r="O24" s="93" t="n"/>
      <c r="P24" s="93" t="n"/>
      <c r="Q24" s="93" t="n"/>
      <c r="R24" s="45" t="n"/>
      <c r="S24" s="45" t="n"/>
      <c r="T24" s="45" t="n"/>
      <c r="U24" s="45" t="n"/>
      <c r="V24" s="45" t="n"/>
      <c r="W24" s="89" t="n"/>
      <c r="X24" s="56" t="n"/>
    </row>
    <row r="25" ht="27.75" customHeight="1">
      <c r="A25" s="112" t="inlineStr">
        <is>
          <t>40 % off CLEARANCE</t>
        </is>
      </c>
      <c r="B25" s="181" t="n"/>
      <c r="C25" s="3" t="n"/>
      <c r="D25" s="96" t="n"/>
      <c r="E25" s="96" t="n"/>
      <c r="F25" s="96" t="n"/>
      <c r="G25" s="97" t="n"/>
      <c r="H25" s="97" t="n"/>
      <c r="I25" s="98" t="inlineStr">
        <is>
          <t>AVERY</t>
        </is>
      </c>
      <c r="J25" s="99" t="inlineStr">
        <is>
          <t>12:15-5</t>
        </is>
      </c>
      <c r="K25" s="45" t="n"/>
      <c r="L25" s="45" t="n"/>
      <c r="M25" s="45" t="n"/>
      <c r="N25" s="115" t="inlineStr">
        <is>
          <t>FITS</t>
        </is>
      </c>
      <c r="O25" s="92" t="inlineStr">
        <is>
          <t>WOMENS</t>
        </is>
      </c>
      <c r="P25" s="93" t="n"/>
      <c r="Q25" s="93" t="n"/>
      <c r="R25" s="93" t="n"/>
      <c r="S25" s="45" t="n"/>
      <c r="T25" s="45" t="n"/>
      <c r="U25" s="45" t="n"/>
      <c r="V25" s="45" t="n"/>
      <c r="W25" s="89" t="n"/>
      <c r="X25" s="56" t="n"/>
    </row>
    <row r="26" ht="27.75" customHeight="1">
      <c r="A26" s="182" t="inlineStr">
        <is>
          <t>SW. $34.99, $39.99, 44.99, 49.99</t>
        </is>
      </c>
      <c r="B26" s="183" t="n"/>
      <c r="C26" s="3" t="n"/>
      <c r="D26" s="96" t="n"/>
      <c r="E26" s="96" t="n"/>
      <c r="F26" s="96" t="n"/>
      <c r="G26" s="97" t="n"/>
      <c r="H26" s="97" t="n"/>
      <c r="I26" s="98" t="inlineStr">
        <is>
          <t>MICHAEL</t>
        </is>
      </c>
      <c r="J26" s="99" t="inlineStr">
        <is>
          <t>12:15-5</t>
        </is>
      </c>
      <c r="K26" s="45" t="n"/>
      <c r="L26" s="45" t="n"/>
      <c r="M26" s="45" t="n"/>
      <c r="N26" s="109" t="inlineStr">
        <is>
          <t>MENS</t>
        </is>
      </c>
      <c r="O26" s="104" t="n"/>
      <c r="P26" s="104" t="n"/>
      <c r="Q26" s="104" t="n"/>
      <c r="R26" s="104" t="n"/>
      <c r="S26" s="45" t="n"/>
      <c r="T26" s="45" t="n"/>
      <c r="U26" s="45" t="n"/>
      <c r="V26" s="45" t="n"/>
      <c r="W26" s="89" t="n"/>
      <c r="X26" s="56" t="n"/>
    </row>
    <row r="27" ht="27.75" customHeight="1">
      <c r="A27" s="182" t="n"/>
      <c r="B27" s="183" t="n"/>
      <c r="C27" s="3" t="n"/>
      <c r="D27" s="96" t="n"/>
      <c r="E27" s="96" t="n"/>
      <c r="F27" s="96" t="n"/>
      <c r="G27" s="97" t="n"/>
      <c r="H27" s="97" t="n"/>
      <c r="I27" s="98" t="inlineStr">
        <is>
          <t>SIMER</t>
        </is>
      </c>
      <c r="J27" s="99" t="inlineStr">
        <is>
          <t>12:15-5</t>
        </is>
      </c>
      <c r="K27" s="45" t="n"/>
      <c r="L27" s="45" t="n"/>
      <c r="M27" s="45" t="n"/>
      <c r="N27" s="109" t="inlineStr">
        <is>
          <t>GREET</t>
        </is>
      </c>
      <c r="O27" s="110" t="n"/>
      <c r="P27" s="110" t="n"/>
      <c r="Q27" s="110" t="n"/>
      <c r="R27" s="110" t="n"/>
      <c r="S27" s="45" t="n"/>
      <c r="T27" s="45" t="n"/>
      <c r="U27" s="45" t="n"/>
      <c r="V27" s="45" t="n"/>
      <c r="W27" s="89" t="n"/>
      <c r="X27" s="56" t="n"/>
    </row>
    <row r="28" ht="27.75" customHeight="1">
      <c r="A28" s="120" t="n"/>
      <c r="B28" s="2" t="n"/>
      <c r="C28" s="3" t="n"/>
      <c r="D28" s="96" t="n"/>
      <c r="E28" s="96" t="n"/>
      <c r="F28" s="96" t="n"/>
      <c r="G28" s="97" t="n"/>
      <c r="H28" s="97" t="n"/>
      <c r="I28" s="98" t="inlineStr">
        <is>
          <t>TARAN</t>
        </is>
      </c>
      <c r="J28" s="99" t="inlineStr">
        <is>
          <t>1-930</t>
        </is>
      </c>
      <c r="K28" s="45" t="n"/>
      <c r="L28" s="45" t="n"/>
      <c r="M28" s="45" t="n"/>
      <c r="N28" s="45" t="n"/>
      <c r="O28" s="49" t="inlineStr">
        <is>
          <t>CEL</t>
        </is>
      </c>
      <c r="P28" s="86" t="inlineStr">
        <is>
          <t>CEL</t>
        </is>
      </c>
      <c r="Q28" s="86" t="inlineStr">
        <is>
          <t>MENS</t>
        </is>
      </c>
      <c r="R28" s="179" t="inlineStr">
        <is>
          <t>MENS</t>
        </is>
      </c>
      <c r="S28" s="179" t="inlineStr">
        <is>
          <t>CEL</t>
        </is>
      </c>
      <c r="T28" s="49" t="inlineStr">
        <is>
          <t>CEL</t>
        </is>
      </c>
      <c r="U28" s="86" t="inlineStr">
        <is>
          <t>CEL</t>
        </is>
      </c>
      <c r="V28" s="86" t="inlineStr">
        <is>
          <t>CEL</t>
        </is>
      </c>
      <c r="W28" s="89" t="n"/>
      <c r="X28" s="56" t="n"/>
    </row>
    <row r="29" ht="27.75" customHeight="1">
      <c r="A29" s="120" t="n"/>
      <c r="B29" s="121" t="n"/>
      <c r="C29" s="3" t="n"/>
      <c r="D29" s="96" t="n"/>
      <c r="E29" s="96" t="n"/>
      <c r="F29" s="96" t="n"/>
      <c r="G29" s="97" t="n"/>
      <c r="H29" s="97" t="n"/>
      <c r="I29" s="98" t="inlineStr">
        <is>
          <t>KAIYA</t>
        </is>
      </c>
      <c r="J29" s="99" t="inlineStr">
        <is>
          <t>115-6</t>
        </is>
      </c>
      <c r="K29" s="45" t="n"/>
      <c r="L29" s="45" t="n"/>
      <c r="M29" s="45" t="n"/>
      <c r="N29" s="45" t="n"/>
      <c r="O29" s="49" t="inlineStr">
        <is>
          <t>FITS</t>
        </is>
      </c>
      <c r="P29" s="179" t="inlineStr">
        <is>
          <t>FITS</t>
        </is>
      </c>
      <c r="Q29" s="91" t="inlineStr">
        <is>
          <t>MENS</t>
        </is>
      </c>
      <c r="R29" s="91" t="inlineStr">
        <is>
          <t>MENS</t>
        </is>
      </c>
      <c r="S29" s="91" t="inlineStr">
        <is>
          <t>MENS</t>
        </is>
      </c>
      <c r="T29" s="45" t="n"/>
      <c r="U29" s="45" t="n"/>
      <c r="V29" s="45" t="n"/>
      <c r="W29" s="89" t="n"/>
      <c r="X29" s="56" t="n"/>
    </row>
    <row r="30" ht="27.75" customHeight="1">
      <c r="A30" s="120" t="n"/>
      <c r="B30" s="121" t="n"/>
      <c r="C30" s="3" t="n"/>
      <c r="D30" s="96" t="n"/>
      <c r="E30" s="96" t="n"/>
      <c r="F30" s="96" t="n"/>
      <c r="G30" s="97" t="n"/>
      <c r="H30" s="97" t="n"/>
      <c r="I30" s="98" t="inlineStr">
        <is>
          <t xml:space="preserve">GIA </t>
        </is>
      </c>
      <c r="J30" s="99" t="inlineStr">
        <is>
          <t>115-6</t>
        </is>
      </c>
      <c r="K30" s="45" t="n"/>
      <c r="L30" s="45" t="n"/>
      <c r="M30" s="45" t="n"/>
      <c r="N30" s="45" t="n"/>
      <c r="O30" s="49" t="inlineStr">
        <is>
          <t>MENS</t>
        </is>
      </c>
      <c r="P30" s="49" t="inlineStr">
        <is>
          <t>MENS</t>
        </is>
      </c>
      <c r="Q30" s="104" t="n"/>
      <c r="R30" s="104" t="n"/>
      <c r="S30" s="104" t="n"/>
      <c r="T30" s="45" t="n"/>
      <c r="U30" s="45" t="n"/>
      <c r="V30" s="45" t="n"/>
      <c r="W30" s="89" t="n"/>
      <c r="X30" s="56" t="n"/>
    </row>
    <row r="31" ht="27.75" customHeight="1">
      <c r="A31" s="120" t="n"/>
      <c r="B31" s="121" t="n"/>
      <c r="C31" s="3" t="n"/>
      <c r="D31" s="96" t="n"/>
      <c r="E31" s="96" t="n"/>
      <c r="F31" s="96" t="n"/>
      <c r="G31" s="97" t="n"/>
      <c r="H31" s="97" t="n"/>
      <c r="I31" s="98" t="inlineStr">
        <is>
          <t>AMITA</t>
        </is>
      </c>
      <c r="J31" s="99" t="inlineStr">
        <is>
          <t>215-7</t>
        </is>
      </c>
      <c r="K31" s="45" t="n"/>
      <c r="L31" s="45" t="n"/>
      <c r="M31" s="45" t="n"/>
      <c r="N31" s="45" t="n"/>
      <c r="O31" s="45" t="n"/>
      <c r="P31" s="49" t="inlineStr">
        <is>
          <t>FITS</t>
        </is>
      </c>
      <c r="Q31" s="108" t="n"/>
      <c r="R31" s="108" t="n"/>
      <c r="S31" s="108" t="n"/>
      <c r="T31" s="108" t="n"/>
      <c r="U31" s="45" t="n"/>
      <c r="V31" s="45" t="n"/>
      <c r="W31" s="89" t="n"/>
      <c r="X31" s="56" t="n"/>
    </row>
    <row r="32" ht="27.75" customHeight="1">
      <c r="A32" s="184" t="n"/>
      <c r="B32" s="185" t="n"/>
      <c r="C32" s="3" t="n"/>
      <c r="D32" s="96" t="n"/>
      <c r="E32" s="96" t="n"/>
      <c r="F32" s="96" t="n"/>
      <c r="G32" s="97" t="n"/>
      <c r="H32" s="97" t="n"/>
      <c r="I32" s="98" t="inlineStr">
        <is>
          <t>SARAH</t>
        </is>
      </c>
      <c r="J32" s="99" t="inlineStr">
        <is>
          <t>445-930</t>
        </is>
      </c>
      <c r="K32" s="45" t="n"/>
      <c r="L32" s="45" t="n"/>
      <c r="M32" s="45" t="n"/>
      <c r="N32" s="45" t="n"/>
      <c r="O32" s="45" t="n"/>
      <c r="P32" s="45" t="n"/>
      <c r="Q32" s="45" t="n"/>
      <c r="R32" s="49" t="inlineStr">
        <is>
          <t>MENS</t>
        </is>
      </c>
      <c r="S32" s="104" t="n"/>
      <c r="T32" s="104" t="n"/>
      <c r="U32" s="104" t="n"/>
      <c r="V32" s="104" t="n"/>
      <c r="W32" s="89" t="n"/>
      <c r="X32" s="56" t="n"/>
    </row>
    <row r="33" ht="27.75" customHeight="1">
      <c r="A33" s="184" t="n"/>
      <c r="B33" s="185" t="n"/>
      <c r="C33" s="3" t="n"/>
      <c r="D33" s="96" t="n"/>
      <c r="E33" s="96" t="n"/>
      <c r="F33" s="96" t="n"/>
      <c r="G33" s="97" t="n"/>
      <c r="H33" s="97" t="n"/>
      <c r="I33" s="98" t="inlineStr">
        <is>
          <t>TRISHA</t>
        </is>
      </c>
      <c r="J33" s="99" t="inlineStr">
        <is>
          <t>445-930</t>
        </is>
      </c>
      <c r="K33" s="45" t="n"/>
      <c r="L33" s="45" t="n"/>
      <c r="M33" s="45" t="n"/>
      <c r="N33" s="45" t="n"/>
      <c r="O33" s="45" t="n"/>
      <c r="P33" s="45" t="n"/>
      <c r="Q33" s="45" t="n"/>
      <c r="R33" s="49" t="inlineStr">
        <is>
          <t>WOMENS</t>
        </is>
      </c>
      <c r="S33" s="93" t="n"/>
      <c r="T33" s="93" t="n"/>
      <c r="U33" s="93" t="n"/>
      <c r="V33" s="93" t="n"/>
      <c r="W33" s="89" t="n"/>
      <c r="X33" s="56" t="n"/>
    </row>
    <row r="34" ht="27.75" customHeight="1">
      <c r="A34" s="128" t="n"/>
      <c r="B34" s="360" t="n"/>
      <c r="C34" s="3" t="n"/>
      <c r="D34" s="96" t="n"/>
      <c r="E34" s="96" t="n"/>
      <c r="F34" s="96" t="n"/>
      <c r="G34" s="97" t="n"/>
      <c r="H34" s="97" t="n"/>
      <c r="I34" s="98" t="inlineStr">
        <is>
          <t>AVA M</t>
        </is>
      </c>
      <c r="J34" s="99" t="inlineStr">
        <is>
          <t>445-930</t>
        </is>
      </c>
      <c r="K34" s="45" t="n"/>
      <c r="L34" s="119" t="n"/>
      <c r="M34" s="119" t="n"/>
      <c r="N34" s="119" t="n"/>
      <c r="O34" s="119" t="n"/>
      <c r="P34" s="119" t="n"/>
      <c r="Q34" s="119" t="n"/>
      <c r="R34" s="87" t="inlineStr">
        <is>
          <t>CASH</t>
        </is>
      </c>
      <c r="S34" s="105" t="n"/>
      <c r="T34" s="105" t="n"/>
      <c r="U34" s="105" t="n"/>
      <c r="V34" s="105" t="n"/>
      <c r="W34" s="89" t="n"/>
      <c r="X34" s="127">
        <f>COUNTIF(#REF!,$R$62)+COUNTIF(#REF!,$S$62)+COUNTIF(#REF!,$M$62)+COUNTIF(#REF!,$N$62)+COUNTIF(#REF!,$O$62)+COUNTIF(#REF!,$P$62)+COUNTIF(#REF!,$Q$62)</f>
        <v/>
      </c>
    </row>
    <row r="35" ht="27.75" customHeight="1">
      <c r="A35" s="186" t="n"/>
      <c r="B35" s="187" t="n"/>
      <c r="C35" s="3" t="n"/>
      <c r="D35" s="96" t="n"/>
      <c r="E35" s="96" t="n"/>
      <c r="F35" s="96" t="n"/>
      <c r="G35" s="97" t="n"/>
      <c r="H35" s="97" t="n"/>
      <c r="I35" s="98" t="inlineStr">
        <is>
          <t>TALIA</t>
        </is>
      </c>
      <c r="J35" s="99" t="inlineStr">
        <is>
          <t>445-930</t>
        </is>
      </c>
      <c r="K35" s="45" t="n"/>
      <c r="L35" s="119" t="n"/>
      <c r="M35" s="119" t="n"/>
      <c r="N35" s="119" t="n"/>
      <c r="O35" s="119" t="n"/>
      <c r="P35" s="119" t="n"/>
      <c r="Q35" s="119" t="n"/>
      <c r="R35" s="87" t="inlineStr">
        <is>
          <t>FITS</t>
        </is>
      </c>
      <c r="S35" s="108" t="n"/>
      <c r="T35" s="108" t="n"/>
      <c r="U35" s="108" t="n"/>
      <c r="V35" s="108" t="n"/>
      <c r="W35" s="89" t="n"/>
      <c r="X35" s="127" t="n"/>
    </row>
    <row r="36" ht="27.75" customHeight="1">
      <c r="A36" s="186" t="n"/>
      <c r="B36" s="187" t="n"/>
      <c r="C36" s="3" t="n"/>
      <c r="D36" s="96" t="n"/>
      <c r="E36" s="96" t="n"/>
      <c r="F36" s="96" t="n"/>
      <c r="G36" s="97" t="n"/>
      <c r="H36" s="97" t="n"/>
      <c r="I36" s="98" t="inlineStr">
        <is>
          <t>LESLEY</t>
        </is>
      </c>
      <c r="J36" s="99" t="inlineStr">
        <is>
          <t>9-145</t>
        </is>
      </c>
      <c r="K36" s="87" t="inlineStr">
        <is>
          <t>TASK</t>
        </is>
      </c>
      <c r="L36" s="188" t="n"/>
      <c r="M36" s="188" t="n"/>
      <c r="N36" s="188" t="n"/>
      <c r="O36" s="188" t="n"/>
      <c r="P36" s="119" t="n"/>
      <c r="Q36" s="119" t="n"/>
      <c r="R36" s="119" t="n"/>
      <c r="S36" s="119" t="n"/>
      <c r="T36" s="119" t="n"/>
      <c r="U36" s="119" t="n"/>
      <c r="V36" s="119" t="n"/>
      <c r="W36" s="189" t="n"/>
      <c r="X36" s="127" t="n"/>
    </row>
    <row r="37" ht="27.75" customHeight="1">
      <c r="A37" s="128" t="n"/>
      <c r="B37" s="360" t="n"/>
      <c r="C37" s="124" t="n"/>
      <c r="D37" s="96" t="n"/>
      <c r="E37" s="96" t="n"/>
      <c r="F37" s="96" t="n"/>
      <c r="G37" s="97" t="n"/>
      <c r="H37" s="97" t="n"/>
      <c r="I37" s="98" t="inlineStr">
        <is>
          <t>PEYTON</t>
        </is>
      </c>
      <c r="J37" s="99" t="inlineStr">
        <is>
          <t>215-7</t>
        </is>
      </c>
      <c r="K37" s="119" t="n"/>
      <c r="L37" s="119" t="n"/>
      <c r="M37" s="119" t="n"/>
      <c r="N37" s="119" t="n"/>
      <c r="O37" s="119" t="n"/>
      <c r="P37" s="87" t="inlineStr">
        <is>
          <t>TASK</t>
        </is>
      </c>
      <c r="Q37" s="188" t="n"/>
      <c r="R37" s="188" t="n"/>
      <c r="S37" s="188" t="n"/>
      <c r="T37" s="188" t="n"/>
      <c r="U37" s="119" t="n"/>
      <c r="V37" s="119" t="n"/>
      <c r="W37" s="89" t="n"/>
      <c r="X37" s="127">
        <f>COUNTIF(K42:V42,$R$62)+COUNTIF(K42:V42,$S$62)+COUNTIF(K42:V42,$M$62)+COUNTIF(K42:V42,$N$62)+COUNTIF(K42:V42,$O$62)+COUNTIF(K42:V42,$P$62)+COUNTIF(K42:V42,$Q$62)</f>
        <v/>
      </c>
    </row>
    <row r="38" ht="27.75" customHeight="1">
      <c r="A38" s="128" t="n"/>
      <c r="B38" s="360" t="n"/>
      <c r="C38" s="124" t="n"/>
      <c r="D38" s="96" t="n"/>
      <c r="E38" s="96" t="n"/>
      <c r="F38" s="96" t="n"/>
      <c r="G38" s="97" t="n"/>
      <c r="H38" s="97" t="n"/>
      <c r="I38" s="98" t="n"/>
      <c r="J38" s="129" t="n"/>
      <c r="K38" s="119" t="n"/>
      <c r="L38" s="119" t="n"/>
      <c r="M38" s="119" t="n"/>
      <c r="N38" s="119" t="n"/>
      <c r="O38" s="119" t="n"/>
      <c r="P38" s="119" t="n"/>
      <c r="Q38" s="119" t="n"/>
      <c r="R38" s="119" t="n"/>
      <c r="S38" s="119" t="n"/>
      <c r="T38" s="119" t="n"/>
      <c r="U38" s="119" t="n"/>
      <c r="V38" s="119" t="n"/>
      <c r="W38" s="89" t="n"/>
      <c r="X38" s="127">
        <f>COUNTIF(K43:V43,$R$62)+COUNTIF(K43:V43,$S$62)+COUNTIF(K43:V43,$M$62)+COUNTIF(K43:V43,$N$62)+COUNTIF(K43:V43,$O$62)+COUNTIF(K43:V43,$P$62)+COUNTIF(K43:V43,$Q$62)</f>
        <v/>
      </c>
    </row>
    <row r="39" ht="27.75" customHeight="1">
      <c r="A39" s="122" t="inlineStr">
        <is>
          <t>HR &amp; PEOPLE</t>
        </is>
      </c>
      <c r="B39" s="360" t="n"/>
      <c r="C39" s="124" t="n"/>
      <c r="D39" s="96" t="n"/>
      <c r="E39" s="96" t="n"/>
      <c r="F39" s="96" t="n"/>
      <c r="G39" s="97" t="n"/>
      <c r="H39" s="97" t="n"/>
      <c r="I39" s="98" t="n"/>
      <c r="J39" s="129" t="n"/>
      <c r="K39" s="119" t="n"/>
      <c r="L39" s="119" t="n"/>
      <c r="M39" s="119" t="n"/>
      <c r="N39" s="119" t="n"/>
      <c r="O39" s="119" t="n"/>
      <c r="P39" s="119" t="n"/>
      <c r="Q39" s="119" t="n"/>
      <c r="R39" s="119" t="n"/>
      <c r="S39" s="119" t="n"/>
      <c r="T39" s="119" t="n"/>
      <c r="U39" s="119" t="n"/>
      <c r="V39" s="119" t="n"/>
      <c r="W39" s="89" t="n"/>
      <c r="X39" s="127">
        <f>COUNTIF(#REF!,$R$62)+COUNTIF(#REF!,$S$62)+COUNTIF(#REF!,$M$62)+COUNTIF(#REF!,$N$62)+COUNTIF(#REF!,$O$62)+COUNTIF(#REF!,$P$62)+COUNTIF(#REF!,$Q$62)</f>
        <v/>
      </c>
    </row>
    <row r="40" ht="27.75" customHeight="1">
      <c r="A40" s="128" t="n"/>
      <c r="B40" s="360" t="n"/>
      <c r="C40" s="124" t="n"/>
      <c r="D40" s="96" t="n"/>
      <c r="E40" s="96" t="n"/>
      <c r="F40" s="96" t="n"/>
      <c r="G40" s="97" t="n"/>
      <c r="H40" s="97" t="n"/>
      <c r="I40" s="98" t="n"/>
      <c r="J40" s="129" t="n"/>
      <c r="K40" s="119" t="n"/>
      <c r="L40" s="119" t="n"/>
      <c r="M40" s="119" t="n"/>
      <c r="N40" s="119" t="n"/>
      <c r="O40" s="119" t="n"/>
      <c r="P40" s="119" t="n"/>
      <c r="Q40" s="119" t="n"/>
      <c r="R40" s="119" t="n"/>
      <c r="S40" s="119" t="n"/>
      <c r="T40" s="119" t="n"/>
      <c r="U40" s="119" t="n"/>
      <c r="V40" s="119" t="n"/>
      <c r="W40" s="89" t="n"/>
      <c r="X40" s="127">
        <f>COUNTIF(K44:V44,$R$62)+COUNTIF(K44:V44,$S$62)+COUNTIF(K44:V44,$M$62)+COUNTIF(K44:V44,$N$62)+COUNTIF(K44:V44,$O$62)+COUNTIF(K44:V44,$P$62)+COUNTIF(K44:V44,$Q$62)</f>
        <v/>
      </c>
    </row>
    <row r="41" ht="27.75" customHeight="1">
      <c r="A41" s="128" t="n"/>
      <c r="B41" s="360" t="n"/>
      <c r="C41" s="124" t="n"/>
      <c r="D41" s="96" t="n"/>
      <c r="E41" s="96" t="n"/>
      <c r="F41" s="96" t="n"/>
      <c r="G41" s="97" t="n"/>
      <c r="H41" s="97" t="n"/>
      <c r="I41" s="98" t="n"/>
      <c r="J41" s="129" t="n"/>
      <c r="K41" s="119" t="n"/>
      <c r="L41" s="119" t="n"/>
      <c r="M41" s="119" t="n"/>
      <c r="N41" s="119" t="n"/>
      <c r="O41" s="119" t="n"/>
      <c r="P41" s="119" t="n"/>
      <c r="Q41" s="119" t="n"/>
      <c r="R41" s="119" t="n"/>
      <c r="S41" s="119" t="n"/>
      <c r="T41" s="119" t="n"/>
      <c r="U41" s="119" t="n"/>
      <c r="V41" s="119" t="n"/>
      <c r="W41" s="89" t="n"/>
      <c r="X41" s="127">
        <f>COUNTIF(K45:V45,$R$62)+COUNTIF(K45:V45,$S$62)+COUNTIF(K45:V45,$M$62)+COUNTIF(K45:V45,$N$62)+COUNTIF(K45:V45,$O$62)+COUNTIF(K45:V45,$P$62)+COUNTIF(K45:V45,$Q$62)</f>
        <v/>
      </c>
    </row>
    <row r="42" ht="27.75" customHeight="1">
      <c r="A42" s="122" t="inlineStr">
        <is>
          <t>BRAND ENVIRONMENT</t>
        </is>
      </c>
      <c r="B42" s="360" t="n"/>
      <c r="C42" s="124" t="n"/>
      <c r="D42" s="96" t="n"/>
      <c r="E42" s="96" t="n"/>
      <c r="F42" s="96" t="n"/>
      <c r="G42" s="97" t="n"/>
      <c r="H42" s="97" t="n"/>
      <c r="I42" s="98" t="n"/>
      <c r="J42" s="129" t="n"/>
      <c r="K42" s="119" t="n"/>
      <c r="L42" s="119" t="n"/>
      <c r="M42" s="119" t="n"/>
      <c r="N42" s="119" t="n"/>
      <c r="O42" s="119" t="n"/>
      <c r="P42" s="119" t="n"/>
      <c r="Q42" s="119" t="n"/>
      <c r="R42" s="119" t="n"/>
      <c r="S42" s="119" t="n"/>
      <c r="T42" s="119" t="n"/>
      <c r="U42" s="119" t="n"/>
      <c r="V42" s="119" t="n"/>
      <c r="W42" s="89" t="n"/>
      <c r="X42" s="127">
        <f>COUNTIF(K46:V46,$R$62)+COUNTIF(K46:V46,$S$62)+COUNTIF(K46:V46,$M$62)+COUNTIF(K46:V46,$N$62)+COUNTIF(K46:V46,$O$62)+COUNTIF(K46:V46,$P$62)+COUNTIF(K46:V46,$Q$62)</f>
        <v/>
      </c>
    </row>
    <row r="43" ht="27.75" customHeight="1">
      <c r="A43" s="128" t="n"/>
      <c r="B43" s="360" t="n"/>
      <c r="C43" s="124" t="n"/>
      <c r="D43" s="96" t="n"/>
      <c r="E43" s="96" t="n"/>
      <c r="F43" s="96" t="n"/>
      <c r="G43" s="97" t="n"/>
      <c r="H43" s="97" t="n"/>
      <c r="I43" s="98" t="n"/>
      <c r="J43" s="129" t="n"/>
      <c r="K43" s="119" t="n"/>
      <c r="L43" s="119" t="n"/>
      <c r="M43" s="119" t="n"/>
      <c r="N43" s="119" t="n"/>
      <c r="O43" s="119" t="n"/>
      <c r="P43" s="119" t="n"/>
      <c r="Q43" s="119" t="n"/>
      <c r="R43" s="119" t="n"/>
      <c r="S43" s="119" t="n"/>
      <c r="T43" s="119" t="n"/>
      <c r="U43" s="119" t="n"/>
      <c r="V43" s="119" t="n"/>
      <c r="W43" s="89" t="n"/>
      <c r="X43" s="127">
        <f>COUNTIF(K47:V47,$R$62)+COUNTIF(K47:V47,$S$62)+COUNTIF(K47:V47,$M$62)+COUNTIF(K47:V47,$N$62)+COUNTIF(K47:V47,$O$62)+COUNTIF(K47:V47,$P$62)+COUNTIF(K47:V47,$Q$62)</f>
        <v/>
      </c>
    </row>
    <row r="44" ht="27.75" customHeight="1">
      <c r="A44" s="128" t="n"/>
      <c r="B44" s="360" t="n"/>
      <c r="C44" s="124" t="n"/>
      <c r="D44" s="96" t="n"/>
      <c r="E44" s="96" t="n"/>
      <c r="F44" s="96" t="n"/>
      <c r="G44" s="97" t="n"/>
      <c r="H44" s="97" t="n"/>
      <c r="I44" s="98" t="n"/>
      <c r="J44" s="129" t="n"/>
      <c r="K44" s="119" t="n"/>
      <c r="L44" s="119" t="n"/>
      <c r="M44" s="119" t="n"/>
      <c r="N44" s="119" t="n"/>
      <c r="O44" s="119" t="n"/>
      <c r="P44" s="119" t="n"/>
      <c r="Q44" s="119" t="n"/>
      <c r="R44" s="119" t="n"/>
      <c r="S44" s="119" t="n"/>
      <c r="T44" s="119" t="n"/>
      <c r="U44" s="119" t="n"/>
      <c r="V44" s="119" t="n"/>
      <c r="W44" s="89" t="n"/>
      <c r="X44" s="127">
        <f>COUNTIF(K48:V48,$R$62)+COUNTIF(K48:V48,$S$62)+COUNTIF(K48:V48,$M$62)+COUNTIF(K48:V48,$N$62)+COUNTIF(K48:V48,$O$62)+COUNTIF(K48:V48,$P$62)+COUNTIF(K48:V48,$Q$62)</f>
        <v/>
      </c>
    </row>
    <row r="45" ht="27.75" customHeight="1">
      <c r="A45" s="122" t="inlineStr">
        <is>
          <t>HEALTHY &amp; SAFETY</t>
        </is>
      </c>
      <c r="B45" s="360" t="n"/>
      <c r="C45" s="124" t="n"/>
      <c r="D45" s="96" t="n"/>
      <c r="E45" s="96" t="n"/>
      <c r="F45" s="96" t="n"/>
      <c r="G45" s="97" t="n"/>
      <c r="H45" s="97" t="n"/>
      <c r="I45" s="98" t="n"/>
      <c r="J45" s="129" t="n"/>
      <c r="K45" s="190" t="n"/>
      <c r="L45" s="119" t="n"/>
      <c r="M45" s="119" t="n"/>
      <c r="N45" s="119" t="n"/>
      <c r="O45" s="119" t="n"/>
      <c r="P45" s="119" t="n"/>
      <c r="Q45" s="119" t="n"/>
      <c r="R45" s="119" t="n"/>
      <c r="S45" s="119" t="n"/>
      <c r="T45" s="119" t="n"/>
      <c r="U45" s="119" t="n"/>
      <c r="V45" s="119" t="n"/>
      <c r="W45" s="89" t="n"/>
      <c r="X45" s="127">
        <f>COUNTIF(K49:V49,$R$62)+COUNTIF(K49:V49,$S$62)+COUNTIF(K49:V49,$M$62)+COUNTIF(K49:V49,$N$62)+COUNTIF(K49:V49,$O$62)+COUNTIF(K49:V49,$P$62)+COUNTIF(K49:V49,$Q$62)</f>
        <v/>
      </c>
    </row>
    <row r="46" ht="27.75" customHeight="1">
      <c r="A46" s="128" t="n"/>
      <c r="B46" s="360" t="n"/>
      <c r="C46" s="124" t="n"/>
      <c r="D46" s="96" t="n"/>
      <c r="E46" s="96" t="n"/>
      <c r="F46" s="96" t="n"/>
      <c r="G46" s="97" t="n"/>
      <c r="H46" s="97" t="n"/>
      <c r="I46" s="98" t="n"/>
      <c r="J46" s="129" t="n"/>
      <c r="K46" s="190" t="n"/>
      <c r="L46" s="119" t="n"/>
      <c r="M46" s="119" t="n"/>
      <c r="N46" s="119" t="n"/>
      <c r="O46" s="119" t="n"/>
      <c r="P46" s="119" t="n"/>
      <c r="Q46" s="119" t="n"/>
      <c r="R46" s="119" t="n"/>
      <c r="S46" s="119" t="n"/>
      <c r="T46" s="119" t="n"/>
      <c r="U46" s="119" t="n"/>
      <c r="V46" s="119" t="n"/>
      <c r="W46" s="89" t="n"/>
      <c r="X46" s="127">
        <f>COUNTIF(K50:V50,$R$62)+COUNTIF(K50:V50,$S$62)+COUNTIF(K50:V50,$M$62)+COUNTIF(K50:V50,$N$62)+COUNTIF(K50:V50,$O$62)+COUNTIF(K50:V50,$P$62)+COUNTIF(K50:V50,$Q$62)</f>
        <v/>
      </c>
    </row>
    <row r="47" ht="27.75" customHeight="1">
      <c r="A47" s="128" t="n"/>
      <c r="B47" s="360" t="n"/>
      <c r="C47" s="124" t="n"/>
      <c r="D47" s="96" t="n"/>
      <c r="E47" s="96" t="n"/>
      <c r="F47" s="96" t="n"/>
      <c r="G47" s="97" t="n"/>
      <c r="H47" s="97" t="n"/>
      <c r="I47" s="98" t="n"/>
      <c r="J47" s="129" t="n"/>
      <c r="K47" s="190" t="n"/>
      <c r="L47" s="119" t="n"/>
      <c r="M47" s="119" t="n"/>
      <c r="N47" s="119" t="n"/>
      <c r="O47" s="119" t="n"/>
      <c r="P47" s="119" t="n"/>
      <c r="Q47" s="119" t="n"/>
      <c r="R47" s="119" t="n"/>
      <c r="S47" s="119" t="n"/>
      <c r="T47" s="119" t="n"/>
      <c r="U47" s="119" t="n"/>
      <c r="V47" s="119" t="n"/>
      <c r="W47" s="89" t="n"/>
      <c r="X47" s="127">
        <f>COUNTIF(K51:V51,$R$62)+COUNTIF(K51:V51,$S$62)+COUNTIF(K51:V51,$M$62)+COUNTIF(K51:V51,$N$62)+COUNTIF(K51:V51,$O$62)+COUNTIF(K51:V51,$P$62)+COUNTIF(K51:V51,$Q$62)</f>
        <v/>
      </c>
    </row>
    <row r="48" ht="27.75" customHeight="1">
      <c r="A48" s="122" t="inlineStr">
        <is>
          <t>LOSS PREVENTION</t>
        </is>
      </c>
      <c r="B48" s="360" t="n"/>
      <c r="C48" s="124" t="n"/>
      <c r="D48" s="96" t="n"/>
      <c r="E48" s="96" t="n"/>
      <c r="F48" s="96" t="n"/>
      <c r="G48" s="97" t="n"/>
      <c r="H48" s="97" t="n"/>
      <c r="I48" s="98" t="n"/>
      <c r="J48" s="129" t="n"/>
      <c r="K48" s="119" t="n"/>
      <c r="L48" s="119" t="n"/>
      <c r="M48" s="119" t="n"/>
      <c r="N48" s="119" t="n"/>
      <c r="O48" s="119" t="n"/>
      <c r="P48" s="119" t="n"/>
      <c r="Q48" s="119" t="n"/>
      <c r="R48" s="119" t="n"/>
      <c r="S48" s="119" t="n"/>
      <c r="T48" s="119" t="n"/>
      <c r="U48" s="119" t="n"/>
      <c r="V48" s="119" t="n"/>
      <c r="W48" s="89" t="n"/>
      <c r="X48" s="127">
        <f>COUNTIF(K52:V52,$R$62)+COUNTIF(K52:V52,$S$62)+COUNTIF(K52:V52,$M$62)+COUNTIF(K52:V52,$N$62)+COUNTIF(K52:V52,$O$62)+COUNTIF(K52:V52,$P$62)+COUNTIF(K52:V52,$Q$62)</f>
        <v/>
      </c>
    </row>
    <row r="49" ht="27.75" customHeight="1">
      <c r="A49" s="128" t="n"/>
      <c r="B49" s="360" t="n"/>
      <c r="C49" s="124" t="n"/>
      <c r="D49" s="96" t="n"/>
      <c r="E49" s="96" t="n"/>
      <c r="F49" s="96" t="n"/>
      <c r="G49" s="97" t="n"/>
      <c r="H49" s="97" t="n"/>
      <c r="I49" s="98" t="n"/>
      <c r="J49" s="129" t="n"/>
      <c r="K49" s="119" t="n"/>
      <c r="L49" s="119" t="n"/>
      <c r="M49" s="119" t="n"/>
      <c r="N49" s="119" t="n"/>
      <c r="O49" s="119" t="n"/>
      <c r="P49" s="119" t="n"/>
      <c r="Q49" s="119" t="n"/>
      <c r="R49" s="119" t="n"/>
      <c r="S49" s="119" t="n"/>
      <c r="T49" s="119" t="n"/>
      <c r="U49" s="119" t="n"/>
      <c r="V49" s="119" t="n"/>
      <c r="W49" s="89" t="n"/>
      <c r="X49" s="127">
        <f>COUNTIF(K53:V53,$R$62)+COUNTIF(K53:V53,$S$62)+COUNTIF(K53:V53,$M$62)+COUNTIF(K53:V53,$N$62)+COUNTIF(K53:V53,$O$62)+COUNTIF(K53:V53,$P$62)+COUNTIF(K53:V53,$Q$62)</f>
        <v/>
      </c>
    </row>
    <row r="50" ht="27.75" customHeight="1">
      <c r="A50" s="128" t="n"/>
      <c r="B50" s="360" t="n"/>
      <c r="C50" s="124" t="n"/>
      <c r="D50" s="96" t="n"/>
      <c r="E50" s="96" t="n"/>
      <c r="F50" s="96" t="n"/>
      <c r="G50" s="97" t="n"/>
      <c r="H50" s="97" t="n"/>
      <c r="I50" s="98" t="n"/>
      <c r="J50" s="129" t="n"/>
      <c r="K50" s="119" t="n"/>
      <c r="L50" s="119" t="n"/>
      <c r="M50" s="119" t="n"/>
      <c r="N50" s="119" t="n"/>
      <c r="O50" s="119" t="n"/>
      <c r="P50" s="119" t="n"/>
      <c r="Q50" s="119" t="n"/>
      <c r="R50" s="119" t="n"/>
      <c r="S50" s="119" t="n"/>
      <c r="T50" s="119" t="n"/>
      <c r="U50" s="119" t="n"/>
      <c r="V50" s="119" t="n"/>
      <c r="W50" s="89" t="n"/>
      <c r="X50" s="127">
        <f>COUNTIF(#REF!,$R$62)+COUNTIF(#REF!,$S$62)+COUNTIF(#REF!,$M$62)+COUNTIF(#REF!,$N$62)+COUNTIF(#REF!,$O$62)+COUNTIF(#REF!,$P$62)+COUNTIF(#REF!,$Q$62)</f>
        <v/>
      </c>
    </row>
    <row r="51" ht="27.75" customHeight="1">
      <c r="A51" s="122" t="inlineStr">
        <is>
          <t>MARKETING</t>
        </is>
      </c>
      <c r="B51" s="360" t="n"/>
      <c r="C51" s="124" t="n"/>
      <c r="D51" s="96" t="n"/>
      <c r="E51" s="96" t="n"/>
      <c r="F51" s="96" t="n"/>
      <c r="G51" s="97" t="n"/>
      <c r="H51" s="97" t="n"/>
      <c r="I51" s="98" t="n"/>
      <c r="J51" s="129" t="n"/>
      <c r="K51" s="119" t="n"/>
      <c r="L51" s="119" t="n"/>
      <c r="M51" s="119" t="n"/>
      <c r="N51" s="119" t="n"/>
      <c r="O51" s="119" t="n"/>
      <c r="P51" s="119" t="n"/>
      <c r="Q51" s="119" t="n"/>
      <c r="R51" s="119" t="n"/>
      <c r="S51" s="119" t="n"/>
      <c r="T51" s="119" t="n"/>
      <c r="U51" s="119" t="n"/>
      <c r="V51" s="119" t="n"/>
      <c r="W51" s="89" t="n"/>
      <c r="X51" s="127" t="n"/>
    </row>
    <row r="52" ht="27.75" customHeight="1">
      <c r="A52" s="128" t="n"/>
      <c r="B52" s="360" t="n"/>
      <c r="C52" s="124" t="n"/>
      <c r="D52" s="96" t="n"/>
      <c r="E52" s="96" t="n"/>
      <c r="F52" s="96" t="n"/>
      <c r="G52" s="97" t="n"/>
      <c r="H52" s="97" t="n"/>
      <c r="I52" s="98" t="n"/>
      <c r="J52" s="129" t="n"/>
      <c r="K52" s="119" t="n"/>
      <c r="L52" s="119" t="n"/>
      <c r="M52" s="119" t="n"/>
      <c r="N52" s="119" t="n"/>
      <c r="O52" s="119" t="n"/>
      <c r="P52" s="119" t="n"/>
      <c r="Q52" s="119" t="n"/>
      <c r="R52" s="119" t="n"/>
      <c r="S52" s="119" t="n"/>
      <c r="T52" s="119" t="n"/>
      <c r="U52" s="119" t="n"/>
      <c r="V52" s="119" t="n"/>
      <c r="W52" s="89" t="n"/>
      <c r="X52" s="131" t="n"/>
    </row>
    <row r="53" ht="27.75" customHeight="1">
      <c r="A53" s="128" t="n"/>
      <c r="B53" s="360" t="n"/>
      <c r="C53" s="124" t="n"/>
      <c r="D53" s="96" t="n"/>
      <c r="E53" s="96" t="n"/>
      <c r="F53" s="96" t="n"/>
      <c r="G53" s="97" t="n"/>
      <c r="H53" s="97" t="n"/>
      <c r="I53" s="98" t="n"/>
      <c r="J53" s="129" t="n"/>
      <c r="K53" s="119" t="n"/>
      <c r="L53" s="119" t="n"/>
      <c r="M53" s="119" t="n"/>
      <c r="N53" s="119" t="n"/>
      <c r="O53" s="119" t="n"/>
      <c r="P53" s="119" t="n"/>
      <c r="Q53" s="119" t="n"/>
      <c r="R53" s="119" t="n"/>
      <c r="S53" s="119" t="n"/>
      <c r="T53" s="119" t="n"/>
      <c r="U53" s="119" t="n"/>
      <c r="V53" s="119" t="n"/>
      <c r="W53" s="89" t="n"/>
      <c r="X53" s="134" t="n"/>
    </row>
    <row r="54" ht="27.75" customHeight="1">
      <c r="A54" s="122" t="inlineStr">
        <is>
          <t>OTHER</t>
        </is>
      </c>
      <c r="B54" s="360" t="n"/>
      <c r="C54" s="124" t="n"/>
      <c r="D54" s="96" t="n"/>
      <c r="E54" s="96" t="n"/>
      <c r="F54" s="96" t="n"/>
      <c r="G54" s="97" t="n"/>
      <c r="H54" s="97" t="n"/>
      <c r="I54" s="98" t="n"/>
      <c r="J54" s="129" t="n"/>
      <c r="K54" s="119" t="n"/>
      <c r="L54" s="119" t="n"/>
      <c r="M54" s="119" t="n"/>
      <c r="N54" s="119" t="n"/>
      <c r="O54" s="119" t="n"/>
      <c r="P54" s="119" t="n"/>
      <c r="Q54" s="119" t="n"/>
      <c r="R54" s="119" t="n"/>
      <c r="S54" s="119" t="n"/>
      <c r="T54" s="119" t="n"/>
      <c r="U54" s="119" t="n"/>
      <c r="V54" s="119" t="n"/>
      <c r="W54" s="89" t="n"/>
      <c r="X54" s="134" t="n"/>
    </row>
    <row r="55" ht="27.75" customHeight="1">
      <c r="A55" s="128" t="n"/>
      <c r="B55" s="360" t="n"/>
      <c r="C55" s="124" t="n"/>
      <c r="D55" s="96" t="n"/>
      <c r="E55" s="96" t="n"/>
      <c r="F55" s="96" t="n"/>
      <c r="G55" s="97" t="n"/>
      <c r="H55" s="97" t="n"/>
      <c r="I55" s="98" t="n"/>
      <c r="J55" s="129" t="n"/>
      <c r="K55" s="119" t="n"/>
      <c r="L55" s="119" t="n"/>
      <c r="M55" s="119" t="n"/>
      <c r="N55" s="119" t="n"/>
      <c r="O55" s="119" t="n"/>
      <c r="P55" s="119" t="n"/>
      <c r="Q55" s="119" t="n"/>
      <c r="R55" s="119" t="n"/>
      <c r="S55" s="119" t="n"/>
      <c r="T55" s="119" t="n"/>
      <c r="U55" s="119" t="n"/>
      <c r="V55" s="119" t="n"/>
      <c r="W55" s="89" t="n"/>
      <c r="X55" s="134" t="n"/>
    </row>
    <row r="56" ht="27.75" customHeight="1">
      <c r="A56" s="139" t="n"/>
      <c r="B56" s="374" t="n"/>
      <c r="C56" s="124" t="n"/>
      <c r="D56" s="96" t="n"/>
      <c r="E56" s="96" t="n"/>
      <c r="F56" s="96" t="n"/>
      <c r="G56" s="97" t="n"/>
      <c r="H56" s="97" t="n"/>
      <c r="I56" s="98" t="n"/>
      <c r="J56" s="129" t="n"/>
      <c r="K56" s="119" t="n"/>
      <c r="L56" s="119" t="n"/>
      <c r="M56" s="119" t="n"/>
      <c r="N56" s="119" t="n"/>
      <c r="O56" s="119" t="n"/>
      <c r="P56" s="119" t="n"/>
      <c r="Q56" s="119" t="n"/>
      <c r="R56" s="119" t="n"/>
      <c r="S56" s="119" t="n"/>
      <c r="T56" s="119" t="n"/>
      <c r="U56" s="119" t="n"/>
      <c r="V56" s="119" t="n"/>
      <c r="W56" s="89" t="n"/>
      <c r="X56" s="134" t="n"/>
    </row>
    <row r="57" ht="26.25" customHeight="1">
      <c r="A57" s="145" t="n"/>
      <c r="B57" s="146" t="n"/>
      <c r="C57" s="124" t="n"/>
      <c r="D57" s="96" t="n"/>
      <c r="E57" s="96" t="n"/>
      <c r="F57" s="96" t="n"/>
      <c r="G57" s="97" t="n"/>
      <c r="H57" s="97" t="n"/>
      <c r="I57" s="132" t="n"/>
      <c r="J57" s="129" t="n"/>
      <c r="K57" s="141" t="n"/>
      <c r="L57" s="119" t="n"/>
      <c r="M57" s="119" t="n"/>
      <c r="N57" s="119" t="n"/>
      <c r="O57" s="119" t="n"/>
      <c r="P57" s="119" t="n"/>
      <c r="Q57" s="119" t="n"/>
      <c r="R57" s="119" t="n"/>
      <c r="S57" s="119" t="n"/>
      <c r="T57" s="119" t="n"/>
      <c r="U57" s="119" t="n"/>
      <c r="V57" s="119" t="n"/>
      <c r="W57" s="89" t="n"/>
      <c r="X57" s="134" t="n"/>
    </row>
    <row r="58" ht="26.25" customHeight="1">
      <c r="A58" s="145" t="n"/>
      <c r="B58" s="146" t="n"/>
      <c r="C58" s="124" t="n"/>
      <c r="D58" s="96" t="n"/>
      <c r="E58" s="96" t="n"/>
      <c r="F58" s="96" t="n"/>
      <c r="G58" s="97" t="n"/>
      <c r="H58" s="97" t="n"/>
      <c r="I58" s="135" t="n"/>
      <c r="J58" s="136" t="n"/>
      <c r="K58" s="148" t="n"/>
      <c r="L58" s="141" t="n"/>
      <c r="M58" s="141" t="n"/>
      <c r="N58" s="141" t="n"/>
      <c r="O58" s="141" t="n"/>
      <c r="P58" s="141" t="n"/>
      <c r="Q58" s="141" t="n"/>
      <c r="R58" s="141" t="n"/>
      <c r="S58" s="141" t="n"/>
      <c r="T58" s="141" t="n"/>
      <c r="U58" s="141" t="n"/>
      <c r="V58" s="141" t="n"/>
      <c r="W58" s="144" t="n"/>
      <c r="X58" s="134" t="n"/>
    </row>
    <row r="59" ht="26.25" customHeight="1">
      <c r="A59" s="145" t="n"/>
      <c r="B59" s="146" t="n"/>
      <c r="C59" s="124" t="n"/>
      <c r="D59" s="147" t="n"/>
      <c r="E59" s="147" t="n"/>
      <c r="F59" s="147" t="n"/>
      <c r="G59" s="147" t="n"/>
      <c r="H59" s="147" t="n"/>
      <c r="I59" s="135" t="n"/>
      <c r="J59" s="137" t="n"/>
      <c r="K59" s="148" t="n"/>
      <c r="L59" s="148" t="n"/>
      <c r="M59" s="148" t="n"/>
      <c r="N59" s="148" t="n"/>
      <c r="O59" s="148" t="n"/>
      <c r="P59" s="148" t="n"/>
      <c r="Q59" s="148" t="n"/>
      <c r="R59" s="148" t="n"/>
      <c r="S59" s="148" t="n"/>
      <c r="T59" s="148" t="n"/>
      <c r="U59" s="148" t="n"/>
      <c r="V59" s="148" t="n"/>
      <c r="W59" s="151" t="n"/>
      <c r="X59" s="134" t="n"/>
    </row>
    <row r="60" hidden="1" ht="17.25" customHeight="1">
      <c r="A60" s="159" t="n"/>
      <c r="B60" s="2" t="n"/>
      <c r="C60" s="124" t="n"/>
      <c r="D60" s="147" t="n"/>
      <c r="E60" s="147" t="n"/>
      <c r="F60" s="147" t="n"/>
      <c r="G60" s="147" t="n"/>
      <c r="H60" s="147" t="n"/>
      <c r="I60" s="135" t="n"/>
      <c r="J60" s="137" t="n"/>
      <c r="K60" s="148" t="n"/>
      <c r="L60" s="148" t="n"/>
      <c r="M60" s="148" t="n"/>
      <c r="N60" s="148" t="n"/>
      <c r="O60" s="148" t="n"/>
      <c r="P60" s="148" t="n"/>
      <c r="Q60" s="148" t="n"/>
      <c r="R60" s="148" t="n"/>
      <c r="S60" s="148" t="n"/>
      <c r="T60" s="148" t="n"/>
      <c r="U60" s="148" t="n"/>
      <c r="V60" s="148" t="n"/>
      <c r="W60" s="151" t="n"/>
      <c r="X60" s="158">
        <f>COUNTIF(#REF!,$R$62)+COUNTIF(#REF!,$S$62)+COUNTIF(#REF!,$M$62)+COUNTIF(#REF!,$N$62)+COUNTIF(#REF!,$O$62)+COUNTIF(#REF!,$P$62)+COUNTIF(#REF!,$Q$62)</f>
        <v/>
      </c>
    </row>
    <row r="61" ht="18.75" customHeight="1">
      <c r="A61" s="159" t="n"/>
      <c r="B61" s="2" t="n"/>
      <c r="C61" s="3" t="n"/>
      <c r="D61" s="147" t="n"/>
      <c r="E61" s="147" t="n"/>
      <c r="F61" s="147" t="n"/>
      <c r="G61" s="147" t="n"/>
      <c r="H61" s="147" t="n"/>
      <c r="I61" s="159" t="n"/>
      <c r="J61" s="137" t="n"/>
      <c r="K61" s="191" t="inlineStr">
        <is>
          <t>BREAK</t>
        </is>
      </c>
      <c r="L61" s="148" t="n"/>
      <c r="M61" s="148" t="n"/>
      <c r="N61" s="148" t="n"/>
      <c r="O61" s="148" t="n"/>
      <c r="P61" s="148" t="n"/>
      <c r="Q61" s="148" t="n"/>
      <c r="R61" s="148" t="n"/>
      <c r="S61" s="148" t="n"/>
      <c r="T61" s="148" t="n"/>
      <c r="U61" s="148" t="n"/>
      <c r="V61" s="148" t="n"/>
      <c r="W61" s="151" t="n"/>
      <c r="X61" s="3" t="n"/>
    </row>
    <row r="62" ht="18.75" customHeight="1">
      <c r="A62" s="159" t="n"/>
      <c r="B62" s="2" t="n"/>
      <c r="C62" s="3" t="n"/>
      <c r="D62" s="159" t="n"/>
      <c r="E62" s="159" t="n"/>
      <c r="F62" s="159" t="n"/>
      <c r="G62" s="159" t="n"/>
      <c r="H62" s="159" t="n"/>
      <c r="I62" s="159" t="n"/>
      <c r="J62" s="135" t="inlineStr">
        <is>
          <t>SELECT</t>
        </is>
      </c>
      <c r="K62" s="68" t="n"/>
      <c r="L62" s="192" t="inlineStr">
        <is>
          <t>CEL</t>
        </is>
      </c>
      <c r="M62" s="153" t="inlineStr">
        <is>
          <t>MENS</t>
        </is>
      </c>
      <c r="N62" s="153" t="inlineStr">
        <is>
          <t>WOMENS</t>
        </is>
      </c>
      <c r="O62" s="153" t="inlineStr">
        <is>
          <t>FLEX</t>
        </is>
      </c>
      <c r="P62" s="153" t="inlineStr">
        <is>
          <t>STYLIST</t>
        </is>
      </c>
      <c r="Q62" s="193" t="inlineStr">
        <is>
          <t>CASH</t>
        </is>
      </c>
      <c r="R62" s="193" t="inlineStr">
        <is>
          <t>FITS</t>
        </is>
      </c>
      <c r="S62" s="193" t="inlineStr">
        <is>
          <t>GREET</t>
        </is>
      </c>
      <c r="T62" s="194" t="inlineStr">
        <is>
          <t>OFFICE</t>
        </is>
      </c>
      <c r="U62" s="194" t="inlineStr">
        <is>
          <t>TASK</t>
        </is>
      </c>
      <c r="V62" s="194" t="inlineStr">
        <is>
          <t>SHIPMENT</t>
        </is>
      </c>
      <c r="W62" s="2" t="n"/>
      <c r="X62" s="3" t="n"/>
    </row>
  </sheetData>
  <mergeCells count="45">
    <mergeCell ref="A48:B48"/>
    <mergeCell ref="A24:B24"/>
    <mergeCell ref="I6:J6"/>
    <mergeCell ref="I16:W16"/>
    <mergeCell ref="A49:B49"/>
    <mergeCell ref="A51:B51"/>
    <mergeCell ref="A45:B45"/>
    <mergeCell ref="I11:J11"/>
    <mergeCell ref="H8:H17"/>
    <mergeCell ref="A54:B54"/>
    <mergeCell ref="A41:B41"/>
    <mergeCell ref="I7:J7"/>
    <mergeCell ref="E8:E17"/>
    <mergeCell ref="G8:G17"/>
    <mergeCell ref="A37:B37"/>
    <mergeCell ref="A46:B46"/>
    <mergeCell ref="D6:D17"/>
    <mergeCell ref="I1:W1"/>
    <mergeCell ref="A56:B56"/>
    <mergeCell ref="A55:B55"/>
    <mergeCell ref="I3:J3"/>
    <mergeCell ref="A50:B50"/>
    <mergeCell ref="I12:J12"/>
    <mergeCell ref="A2:B2"/>
    <mergeCell ref="A47:B47"/>
    <mergeCell ref="A42:B42"/>
    <mergeCell ref="I5:J5"/>
    <mergeCell ref="A14:B14"/>
    <mergeCell ref="I8:J8"/>
    <mergeCell ref="I14:J14"/>
    <mergeCell ref="A23:B23"/>
    <mergeCell ref="A53:B53"/>
    <mergeCell ref="F8:F17"/>
    <mergeCell ref="A38:B38"/>
    <mergeCell ref="I4:J4"/>
    <mergeCell ref="A52:B52"/>
    <mergeCell ref="A43:B43"/>
    <mergeCell ref="I10:J10"/>
    <mergeCell ref="I2:W2"/>
    <mergeCell ref="A44:B44"/>
    <mergeCell ref="I13:J13"/>
    <mergeCell ref="A40:B40"/>
    <mergeCell ref="I9:J9"/>
    <mergeCell ref="A39:B39"/>
    <mergeCell ref="A34:B3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/>
    <pageSetUpPr/>
  </sheetPr>
  <dimension ref="A1:X41"/>
  <sheetViews>
    <sheetView workbookViewId="0">
      <selection activeCell="A1" sqref="A1"/>
    </sheetView>
  </sheetViews>
  <sheetFormatPr baseColWidth="8" defaultRowHeight="15"/>
  <cols>
    <col width="40.86214285714286" bestFit="1" customWidth="1" style="159" min="1" max="1"/>
    <col width="34.57642857142857" bestFit="1" customWidth="1" style="160" min="2" max="2"/>
    <col width="1.576428571428571" bestFit="1" customWidth="1" style="161" min="3" max="3"/>
    <col width="5.147857142857143" bestFit="1" customWidth="1" style="159" min="4" max="4"/>
    <col width="5.147857142857143" bestFit="1" customWidth="1" style="159" min="5" max="5"/>
    <col width="5.147857142857143" bestFit="1" customWidth="1" style="159" min="6" max="6"/>
    <col width="5.147857142857143" bestFit="1" customWidth="1" style="159" min="7" max="7"/>
    <col width="29.005" bestFit="1" customWidth="1" style="159" min="8" max="8"/>
    <col width="21.005" bestFit="1" customWidth="1" style="162" min="9" max="9"/>
    <col width="15.57642857142857" bestFit="1" customWidth="1" style="163" min="10" max="10"/>
    <col width="15.57642857142857" bestFit="1" customWidth="1" style="164" min="11" max="11"/>
    <col width="15.57642857142857" bestFit="1" customWidth="1" style="164" min="12" max="12"/>
    <col width="15.57642857142857" bestFit="1" customWidth="1" style="164" min="13" max="13"/>
    <col width="15.57642857142857" bestFit="1" customWidth="1" style="163" min="14" max="14"/>
    <col width="15.57642857142857" bestFit="1" customWidth="1" style="163" min="15" max="15"/>
    <col width="15.57642857142857" bestFit="1" customWidth="1" style="163" min="16" max="16"/>
    <col width="15.57642857142857" bestFit="1" customWidth="1" style="165" min="17" max="17"/>
    <col width="15.57642857142857" bestFit="1" customWidth="1" style="165" min="18" max="18"/>
    <col width="34.86214285714286" bestFit="1" customWidth="1" style="166" min="19" max="19"/>
    <col hidden="1" width="12.43357142857143" bestFit="1" customWidth="1" style="167" min="20" max="20"/>
    <col width="12.43357142857143" bestFit="1" customWidth="1" style="159" min="21" max="21"/>
    <col width="12.43357142857143" bestFit="1" customWidth="1" style="159" min="22" max="22"/>
    <col width="12.43357142857143" bestFit="1" customWidth="1" style="159" min="23" max="23"/>
    <col width="12.43357142857143" bestFit="1" customWidth="1" style="159" min="24" max="24"/>
  </cols>
  <sheetData>
    <row r="1" ht="88.5" customHeight="1">
      <c r="A1" s="1" t="inlineStr">
        <is>
          <t xml:space="preserve"> </t>
        </is>
      </c>
      <c r="B1" s="2" t="n"/>
      <c r="C1" s="3" t="n"/>
      <c r="D1" s="159" t="n"/>
      <c r="E1" s="159" t="n"/>
      <c r="F1" s="159" t="n"/>
      <c r="G1" s="159" t="n"/>
      <c r="H1" s="5" t="n"/>
      <c r="T1" s="11" t="n"/>
      <c r="U1" s="159" t="n"/>
      <c r="V1" s="159" t="n"/>
      <c r="W1" s="159" t="n"/>
      <c r="X1" s="159" t="n"/>
    </row>
    <row r="2" ht="27.75" customHeight="1">
      <c r="A2" s="12" t="inlineStr">
        <is>
          <t>T O D A Y ' S   G O A L S</t>
        </is>
      </c>
      <c r="B2" s="370" t="n"/>
      <c r="C2" s="3" t="n"/>
      <c r="D2" s="159" t="n"/>
      <c r="E2" s="159" t="n"/>
      <c r="F2" s="159" t="n"/>
      <c r="G2" s="159" t="n"/>
      <c r="H2" s="14" t="inlineStr">
        <is>
          <t>H O U R L Y   S E G M E N T S</t>
        </is>
      </c>
      <c r="I2" s="361" t="n"/>
      <c r="J2" s="361" t="n"/>
      <c r="K2" s="361" t="n"/>
      <c r="L2" s="361" t="n"/>
      <c r="M2" s="361" t="n"/>
      <c r="N2" s="361" t="n"/>
      <c r="O2" s="361" t="n"/>
      <c r="P2" s="361" t="n"/>
      <c r="Q2" s="361" t="n"/>
      <c r="R2" s="361" t="n"/>
      <c r="S2" s="362" t="n"/>
      <c r="T2" s="19" t="n"/>
      <c r="U2" s="159" t="n"/>
      <c r="V2" s="159" t="n"/>
      <c r="W2" s="159" t="n"/>
      <c r="X2" s="159" t="n"/>
    </row>
    <row r="3" ht="27.75" customHeight="1">
      <c r="A3" s="20" t="inlineStr">
        <is>
          <t>DATE</t>
        </is>
      </c>
      <c r="B3" s="21" t="inlineStr">
        <is>
          <t>05.25.2025</t>
        </is>
      </c>
      <c r="C3" s="3" t="n"/>
      <c r="D3" s="22" t="inlineStr">
        <is>
          <t>LEARNING LAB: BEHAVIOURS &amp; OBSERVATIONS</t>
        </is>
      </c>
      <c r="E3" s="159" t="n"/>
      <c r="F3" s="159" t="n"/>
      <c r="G3" s="159" t="n"/>
      <c r="H3" s="23" t="inlineStr">
        <is>
          <t>HOURS OF OPERATIONS</t>
        </is>
      </c>
      <c r="I3" s="362" t="n"/>
      <c r="J3" s="24" t="inlineStr">
        <is>
          <t>11am - 12pm</t>
        </is>
      </c>
      <c r="K3" s="25" t="inlineStr">
        <is>
          <t>12pm - 1pm</t>
        </is>
      </c>
      <c r="L3" s="25" t="inlineStr">
        <is>
          <t>1pm - 2pm</t>
        </is>
      </c>
      <c r="M3" s="25" t="inlineStr">
        <is>
          <t>2pm - 3pm</t>
        </is>
      </c>
      <c r="N3" s="24" t="inlineStr">
        <is>
          <t>3pm - 4pm</t>
        </is>
      </c>
      <c r="O3" s="24" t="inlineStr">
        <is>
          <t>4pm - 5pm</t>
        </is>
      </c>
      <c r="P3" s="24" t="inlineStr">
        <is>
          <t>5pm - 6pm</t>
        </is>
      </c>
      <c r="Q3" s="26" t="inlineStr">
        <is>
          <t>6pm - 7pm</t>
        </is>
      </c>
      <c r="R3" s="27">
        <f>SUM(J4:Q4)</f>
        <v/>
      </c>
      <c r="S3" s="28" t="n"/>
      <c r="T3" s="29" t="n"/>
      <c r="U3" s="159" t="n"/>
      <c r="V3" s="159" t="n"/>
      <c r="W3" s="159" t="n"/>
      <c r="X3" s="159" t="n"/>
    </row>
    <row r="4" ht="27.75" customHeight="1">
      <c r="A4" s="30" t="inlineStr">
        <is>
          <t>DAY SALES TARGET</t>
        </is>
      </c>
      <c r="B4" s="31" t="n">
        <v>19653</v>
      </c>
      <c r="C4" s="32" t="n"/>
      <c r="E4" s="33" t="n"/>
      <c r="F4" s="33" t="n"/>
      <c r="G4" s="33" t="n"/>
      <c r="H4" s="34" t="inlineStr">
        <is>
          <t>HOURLY SALES CONTRIBUTION %</t>
        </is>
      </c>
      <c r="I4" s="368" t="n"/>
      <c r="J4" s="36" t="n">
        <v>0.06</v>
      </c>
      <c r="K4" s="36" t="n">
        <v>0.15</v>
      </c>
      <c r="L4" s="36" t="n">
        <v>0.18</v>
      </c>
      <c r="M4" s="36" t="n">
        <v>0.19</v>
      </c>
      <c r="N4" s="36" t="n">
        <v>0.15</v>
      </c>
      <c r="O4" s="36" t="n">
        <v>0.15</v>
      </c>
      <c r="P4" s="36" t="n">
        <v>0.12</v>
      </c>
      <c r="Q4" s="36" t="n"/>
      <c r="R4" s="37" t="inlineStr">
        <is>
          <t>NOTES &amp; OBSERVATIONS
Complete throughout the day</t>
        </is>
      </c>
      <c r="S4" s="28" t="n"/>
      <c r="T4" s="19" t="n"/>
      <c r="U4" s="159" t="n"/>
      <c r="V4" s="159" t="n"/>
      <c r="W4" s="159" t="n"/>
      <c r="X4" s="159" t="n"/>
    </row>
    <row r="5" ht="27.75" customHeight="1">
      <c r="A5" s="30" t="inlineStr">
        <is>
          <t>STRETCH TARGET</t>
        </is>
      </c>
      <c r="B5" s="31" t="n">
        <v>20000</v>
      </c>
      <c r="C5" s="3" t="n"/>
      <c r="E5" s="22" t="inlineStr">
        <is>
          <t>1ST BREAK TAKEN</t>
        </is>
      </c>
      <c r="F5" s="33" t="n"/>
      <c r="G5" s="33" t="n"/>
      <c r="H5" s="34" t="inlineStr">
        <is>
          <t>CUMULATIVE SALES TARGET</t>
        </is>
      </c>
      <c r="I5" s="368" t="n"/>
      <c r="J5" s="38">
        <f>SUM(J4:J4)*$B$4</f>
        <v/>
      </c>
      <c r="K5" s="38">
        <f>SUM(J4:K4)*$B$4</f>
        <v/>
      </c>
      <c r="L5" s="38">
        <f>SUM(J4:L4)*$B$4</f>
        <v/>
      </c>
      <c r="M5" s="38">
        <f>SUM(J4:M4)*$B$4</f>
        <v/>
      </c>
      <c r="N5" s="38">
        <f>SUM(J4:N4)*$B$4</f>
        <v/>
      </c>
      <c r="O5" s="38">
        <f>SUM(J4:O4)*$B$4</f>
        <v/>
      </c>
      <c r="P5" s="38">
        <f>SUM(J4:P4)*$B$4</f>
        <v/>
      </c>
      <c r="Q5" s="38" t="n"/>
      <c r="R5" s="39" t="n"/>
      <c r="S5" s="28" t="n"/>
      <c r="T5" s="19" t="n"/>
      <c r="U5" s="159" t="n"/>
      <c r="V5" s="159" t="n"/>
      <c r="W5" s="159" t="n"/>
      <c r="X5" s="159" t="n"/>
    </row>
    <row r="6" ht="27.75" customHeight="1">
      <c r="A6" s="30" t="inlineStr">
        <is>
          <t>LAST YEAR SALES</t>
        </is>
      </c>
      <c r="B6" s="31" t="n">
        <v>18000</v>
      </c>
      <c r="C6" s="40">
        <f>B5/B4</f>
        <v/>
      </c>
      <c r="F6" s="41" t="n"/>
      <c r="G6" s="41" t="n"/>
      <c r="H6" s="34" t="inlineStr">
        <is>
          <t>CUMULATIVE STRETCH TARGET</t>
        </is>
      </c>
      <c r="I6" s="368" t="n"/>
      <c r="J6" s="38">
        <f>SUM(J4:J4)*$B$5</f>
        <v/>
      </c>
      <c r="K6" s="38">
        <f>SUM(J4:K4)*$B$5</f>
        <v/>
      </c>
      <c r="L6" s="38">
        <f>SUM(J4:L4)*$B$5</f>
        <v/>
      </c>
      <c r="M6" s="38">
        <f>SUM(J4:M4)*$B$5</f>
        <v/>
      </c>
      <c r="N6" s="38">
        <f>SUM(J4:N4)*$B$5</f>
        <v/>
      </c>
      <c r="O6" s="38">
        <f>SUM(J4:O4)*$B$5</f>
        <v/>
      </c>
      <c r="P6" s="38">
        <f>SUM(J4:P4)*$B$5</f>
        <v/>
      </c>
      <c r="Q6" s="38" t="n"/>
      <c r="R6" s="39" t="n"/>
      <c r="S6" s="28" t="n"/>
      <c r="T6" s="19" t="n"/>
      <c r="U6" s="159" t="n"/>
      <c r="V6" s="159" t="n"/>
      <c r="W6" s="159" t="n"/>
      <c r="X6" s="159" t="n"/>
    </row>
    <row r="7" ht="27.75" customHeight="1">
      <c r="A7" s="30" t="inlineStr">
        <is>
          <t>LAST YEAR TRAFFIC</t>
        </is>
      </c>
      <c r="B7" s="42" t="n"/>
      <c r="C7" s="3" t="n"/>
      <c r="F7" s="22" t="inlineStr">
        <is>
          <t>2ND BREAK TAKEN (IF APPLICABLE)</t>
        </is>
      </c>
      <c r="G7" s="43" t="inlineStr">
        <is>
          <t>OTHER: __________________________________</t>
        </is>
      </c>
      <c r="H7" s="44" t="inlineStr">
        <is>
          <t>CUMULATIVE SALES ACTUAL</t>
        </is>
      </c>
      <c r="I7" s="368" t="n"/>
      <c r="J7" s="45" t="n"/>
      <c r="K7" s="45" t="n"/>
      <c r="L7" s="45" t="n"/>
      <c r="M7" s="45" t="n"/>
      <c r="N7" s="45" t="n"/>
      <c r="O7" s="45" t="n"/>
      <c r="P7" s="45" t="n"/>
      <c r="Q7" s="45" t="n"/>
      <c r="R7" s="39" t="n"/>
      <c r="S7" s="28" t="n"/>
      <c r="T7" s="19" t="n"/>
      <c r="U7" s="159" t="n"/>
      <c r="V7" s="159" t="n"/>
      <c r="W7" s="159" t="n"/>
      <c r="X7" s="159" t="n"/>
    </row>
    <row r="8" ht="27.75" customHeight="1">
      <c r="A8" s="30" t="inlineStr">
        <is>
          <t>CURRENT TRAFFIC TREND (+/-)</t>
        </is>
      </c>
      <c r="B8" s="46" t="n"/>
      <c r="C8" s="3" t="n"/>
      <c r="H8" s="44" t="inlineStr">
        <is>
          <t>TRAFFIC</t>
        </is>
      </c>
      <c r="I8" s="368" t="n"/>
      <c r="J8" s="47" t="n"/>
      <c r="K8" s="47" t="n"/>
      <c r="L8" s="47" t="n"/>
      <c r="M8" s="47" t="n"/>
      <c r="N8" s="47" t="n"/>
      <c r="O8" s="47" t="n"/>
      <c r="P8" s="47" t="n"/>
      <c r="Q8" s="47" t="n"/>
      <c r="R8" s="39" t="n"/>
      <c r="S8" s="28" t="n"/>
      <c r="T8" s="19" t="n"/>
      <c r="U8" s="159" t="n"/>
      <c r="V8" s="159" t="n"/>
      <c r="W8" s="159" t="n"/>
      <c r="X8" s="159" t="n"/>
    </row>
    <row r="9" ht="27.75" customHeight="1">
      <c r="A9" s="30" t="inlineStr">
        <is>
          <t>PROJECTED TRAFFIC</t>
        </is>
      </c>
      <c r="B9" s="48" t="n">
        <v>1500</v>
      </c>
      <c r="C9" s="3" t="n"/>
      <c r="H9" s="44" t="inlineStr">
        <is>
          <t>TRANSACTIONS</t>
        </is>
      </c>
      <c r="I9" s="368" t="n"/>
      <c r="J9" s="47" t="n"/>
      <c r="K9" s="47" t="n"/>
      <c r="L9" s="47" t="n"/>
      <c r="M9" s="47" t="n"/>
      <c r="N9" s="47" t="n"/>
      <c r="O9" s="47" t="n"/>
      <c r="P9" s="47" t="n"/>
      <c r="Q9" s="47" t="n"/>
      <c r="R9" s="39" t="n"/>
      <c r="S9" s="28" t="n"/>
      <c r="T9" s="19" t="n"/>
      <c r="U9" s="159" t="n"/>
      <c r="V9" s="159" t="n"/>
      <c r="W9" s="159" t="n"/>
      <c r="X9" s="159" t="n"/>
    </row>
    <row r="10" ht="27.75" customHeight="1">
      <c r="A10" s="30" t="inlineStr">
        <is>
          <t>TRANSACTION GOAL</t>
        </is>
      </c>
      <c r="B10" s="48" t="n">
        <v>250</v>
      </c>
      <c r="C10" s="3" t="n"/>
      <c r="H10" s="44" t="inlineStr">
        <is>
          <t>CONVERSION</t>
        </is>
      </c>
      <c r="I10" s="368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39" t="n"/>
      <c r="S10" s="28" t="n"/>
      <c r="T10" s="19" t="n"/>
      <c r="U10" s="159" t="n"/>
      <c r="V10" s="159" t="n"/>
      <c r="W10" s="159" t="n"/>
      <c r="X10" s="159" t="n"/>
    </row>
    <row r="11" ht="27.75" customHeight="1">
      <c r="A11" s="30" t="inlineStr">
        <is>
          <t>CONVERSION TARGET</t>
        </is>
      </c>
      <c r="B11" s="46" t="n">
        <v>0.2</v>
      </c>
      <c r="C11" s="29" t="n"/>
      <c r="H11" s="44" t="inlineStr">
        <is>
          <t>UPT</t>
        </is>
      </c>
      <c r="I11" s="368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1" t="n"/>
      <c r="S11" s="28" t="n"/>
      <c r="T11" s="19" t="n"/>
      <c r="U11" s="159" t="n"/>
      <c r="V11" s="159" t="n"/>
      <c r="W11" s="159" t="n"/>
      <c r="X11" s="159" t="n"/>
    </row>
    <row r="12" ht="27.75" customHeight="1">
      <c r="A12" s="30" t="inlineStr">
        <is>
          <t>UPT</t>
        </is>
      </c>
      <c r="B12" s="52" t="n">
        <v>2.03</v>
      </c>
      <c r="C12" s="29" t="n"/>
      <c r="H12" s="44" t="inlineStr">
        <is>
          <t>ATV</t>
        </is>
      </c>
      <c r="I12" s="368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51" t="n"/>
      <c r="S12" s="28" t="n"/>
      <c r="T12" s="19" t="n"/>
      <c r="U12" s="159" t="n"/>
      <c r="V12" s="159" t="n"/>
      <c r="W12" s="159" t="n"/>
      <c r="X12" s="159" t="n"/>
    </row>
    <row r="13" ht="27.75" customHeight="1">
      <c r="A13" s="53" t="inlineStr">
        <is>
          <t>ATV</t>
        </is>
      </c>
      <c r="B13" s="54" t="n">
        <v>90</v>
      </c>
      <c r="C13" s="3" t="n"/>
      <c r="H13" s="44" t="inlineStr">
        <is>
          <t>OTHER: _________________</t>
        </is>
      </c>
      <c r="I13" s="368" t="n"/>
      <c r="J13" s="45" t="n"/>
      <c r="K13" s="45" t="n"/>
      <c r="L13" s="45" t="n"/>
      <c r="M13" s="45" t="n"/>
      <c r="N13" s="45" t="n"/>
      <c r="O13" s="45" t="n"/>
      <c r="P13" s="45" t="n"/>
      <c r="Q13" s="55" t="n"/>
      <c r="R13" s="51" t="n"/>
      <c r="S13" s="56" t="n"/>
      <c r="T13" s="29" t="n"/>
      <c r="U13" s="159" t="n"/>
      <c r="V13" s="159" t="n"/>
      <c r="W13" s="159" t="n"/>
      <c r="X13" s="159" t="n"/>
    </row>
    <row r="14" ht="27.75" customHeight="1">
      <c r="A14" s="57" t="inlineStr">
        <is>
          <t>M O N T H   T O   D A T E   P E R F O R M A N C E</t>
        </is>
      </c>
      <c r="B14" s="371" t="n"/>
      <c r="C14" s="3" t="n"/>
      <c r="H14" s="59" t="inlineStr">
        <is>
          <t>CEL SIGN-OFF (INITIALS)</t>
        </is>
      </c>
      <c r="I14" s="372" t="n"/>
      <c r="J14" s="61" t="n"/>
      <c r="K14" s="61" t="n"/>
      <c r="L14" s="61" t="n"/>
      <c r="M14" s="61" t="n"/>
      <c r="N14" s="61" t="n"/>
      <c r="O14" s="61" t="n"/>
      <c r="P14" s="61" t="n"/>
      <c r="Q14" s="61" t="n"/>
      <c r="R14" s="62" t="n"/>
      <c r="S14" s="56" t="n"/>
      <c r="T14" s="29" t="n"/>
      <c r="U14" s="159" t="n"/>
      <c r="V14" s="159" t="n"/>
      <c r="W14" s="159" t="n"/>
      <c r="X14" s="159" t="n"/>
    </row>
    <row r="15" ht="27" customHeight="1">
      <c r="A15" s="20" t="inlineStr">
        <is>
          <t>MONTH SALES PLAN</t>
        </is>
      </c>
      <c r="B15" s="63" t="n">
        <v>453745</v>
      </c>
      <c r="C15" s="3" t="n"/>
      <c r="H15" s="159" t="n"/>
      <c r="I15" s="64" t="n"/>
      <c r="J15" s="65" t="n"/>
      <c r="K15" s="65" t="n"/>
      <c r="L15" s="65" t="n"/>
      <c r="M15" s="65" t="n"/>
      <c r="N15" s="65" t="n"/>
      <c r="O15" s="65" t="n"/>
      <c r="P15" s="65" t="n"/>
      <c r="Q15" s="66" t="n"/>
      <c r="R15" s="67" t="n"/>
      <c r="S15" s="68" t="n"/>
      <c r="T15" s="56" t="n"/>
      <c r="U15" s="159" t="n"/>
      <c r="V15" s="159" t="n"/>
      <c r="W15" s="159" t="n"/>
      <c r="X15" s="159" t="n"/>
    </row>
    <row r="16" ht="27.75" customHeight="1">
      <c r="A16" s="30" t="inlineStr">
        <is>
          <t>MONTH TO DATE SALES</t>
        </is>
      </c>
      <c r="B16" s="31" t="n"/>
      <c r="C16" s="3" t="n"/>
      <c r="H16" s="69" t="inlineStr">
        <is>
          <t>Z O N E   C H A R T</t>
        </is>
      </c>
      <c r="I16" s="373" t="n"/>
      <c r="J16" s="373" t="n"/>
      <c r="K16" s="373" t="n"/>
      <c r="L16" s="373" t="n"/>
      <c r="M16" s="373" t="n"/>
      <c r="N16" s="373" t="n"/>
      <c r="O16" s="373" t="n"/>
      <c r="P16" s="373" t="n"/>
      <c r="Q16" s="373" t="n"/>
      <c r="R16" s="373" t="n"/>
      <c r="S16" s="371" t="n"/>
      <c r="T16" s="56" t="n"/>
      <c r="U16" s="159" t="n"/>
      <c r="V16" s="159" t="n"/>
      <c r="W16" s="159" t="n"/>
      <c r="X16" s="159" t="n"/>
    </row>
    <row r="17" ht="21" customHeight="1">
      <c r="A17" s="30" t="inlineStr">
        <is>
          <t>% TO MONTH SALES PLAN</t>
        </is>
      </c>
      <c r="B17" s="2" t="n"/>
      <c r="C17" s="3" t="n"/>
      <c r="D17" s="376" t="n"/>
      <c r="E17" s="376" t="n"/>
      <c r="F17" s="376" t="n"/>
      <c r="H17" s="74" t="inlineStr">
        <is>
          <t>Name</t>
        </is>
      </c>
      <c r="I17" s="75" t="inlineStr">
        <is>
          <t>Shift</t>
        </is>
      </c>
      <c r="J17" s="76" t="inlineStr">
        <is>
          <t>10am-11am</t>
        </is>
      </c>
      <c r="K17" s="76">
        <f>J$3</f>
        <v/>
      </c>
      <c r="L17" s="76">
        <f>K$3</f>
        <v/>
      </c>
      <c r="M17" s="76">
        <f>L$3</f>
        <v/>
      </c>
      <c r="N17" s="76">
        <f>M$3</f>
        <v/>
      </c>
      <c r="O17" s="76">
        <f>N$3</f>
        <v/>
      </c>
      <c r="P17" s="76">
        <f>O$3</f>
        <v/>
      </c>
      <c r="Q17" s="77">
        <f>P$3</f>
        <v/>
      </c>
      <c r="R17" s="78">
        <f>Q$3</f>
        <v/>
      </c>
      <c r="S17" s="79" t="inlineStr">
        <is>
          <t>Sales Target</t>
        </is>
      </c>
      <c r="T17" s="56" t="n"/>
      <c r="U17" s="159" t="n"/>
      <c r="V17" s="159" t="n"/>
      <c r="W17" s="159" t="n"/>
      <c r="X17" s="159" t="n"/>
    </row>
    <row r="18" ht="38.25" customHeight="1">
      <c r="A18" s="30" t="n"/>
      <c r="B18" s="80" t="n"/>
      <c r="C18" s="3" t="n"/>
      <c r="D18" s="81" t="n"/>
      <c r="E18" s="82" t="n"/>
      <c r="F18" s="83" t="n"/>
      <c r="G18" s="81" t="n"/>
      <c r="H18" s="84" t="inlineStr">
        <is>
          <t>Camaso-Catalan, Lesley</t>
        </is>
      </c>
      <c r="I18" s="85" t="inlineStr">
        <is>
          <t>10:00 - 02:45</t>
        </is>
      </c>
      <c r="J18" s="49" t="n">
        <v>1</v>
      </c>
      <c r="K18" s="49" t="n">
        <v>1</v>
      </c>
      <c r="L18" s="86" t="n">
        <v>1</v>
      </c>
      <c r="M18" s="86" t="n">
        <v>1</v>
      </c>
      <c r="N18" s="87" t="n">
        <v>1</v>
      </c>
      <c r="O18" s="49" t="n"/>
      <c r="P18" s="49" t="n"/>
      <c r="Q18" s="55" t="n"/>
      <c r="R18" s="88" t="n"/>
      <c r="S18" s="89" t="n"/>
      <c r="T18" s="90" t="n"/>
      <c r="U18" s="159" t="n"/>
      <c r="V18" s="159" t="n"/>
      <c r="W18" s="159" t="n"/>
      <c r="X18" s="159" t="n"/>
    </row>
    <row r="19" ht="38.25" customHeight="1">
      <c r="A19" s="30" t="n"/>
      <c r="B19" s="80" t="n"/>
      <c r="C19" s="3" t="n"/>
      <c r="D19" s="81" t="n"/>
      <c r="E19" s="82" t="n"/>
      <c r="F19" s="83" t="n"/>
      <c r="G19" s="81" t="n"/>
      <c r="H19" s="84" t="inlineStr">
        <is>
          <t>Thompson, Sierra</t>
        </is>
      </c>
      <c r="I19" s="85" t="inlineStr">
        <is>
          <t>10:00 - 06:30</t>
        </is>
      </c>
      <c r="J19" s="49" t="n">
        <v>1</v>
      </c>
      <c r="K19" s="49" t="n">
        <v>1</v>
      </c>
      <c r="L19" s="86" t="n">
        <v>1</v>
      </c>
      <c r="M19" s="86" t="n">
        <v>1</v>
      </c>
      <c r="N19" s="87" t="n">
        <v>1</v>
      </c>
      <c r="O19" s="49" t="n">
        <v>1</v>
      </c>
      <c r="P19" s="49" t="n">
        <v>1</v>
      </c>
      <c r="Q19" s="55" t="inlineStr">
        <is>
          <t>1</t>
        </is>
      </c>
      <c r="R19" s="88" t="n"/>
      <c r="S19" s="89" t="n"/>
      <c r="T19" s="90" t="n"/>
      <c r="U19" s="159" t="n"/>
      <c r="V19" s="159" t="n"/>
      <c r="W19" s="159" t="n"/>
      <c r="X19" s="159" t="n"/>
    </row>
    <row r="20" ht="38.25" customHeight="1">
      <c r="A20" s="30" t="n"/>
      <c r="B20" s="80" t="n"/>
      <c r="C20" s="3" t="n"/>
      <c r="D20" s="81" t="n"/>
      <c r="E20" s="82" t="n"/>
      <c r="F20" s="83" t="n"/>
      <c r="G20" s="81" t="n"/>
      <c r="H20" s="84" t="inlineStr">
        <is>
          <t>Herbert, Rebecca</t>
        </is>
      </c>
      <c r="I20" s="85" t="inlineStr">
        <is>
          <t>10:00 - 02:45</t>
        </is>
      </c>
      <c r="J20" s="45" t="n">
        <v>1</v>
      </c>
      <c r="K20" s="49" t="n">
        <v>1</v>
      </c>
      <c r="L20" s="91" t="n">
        <v>1</v>
      </c>
      <c r="M20" s="92" t="n">
        <v>1</v>
      </c>
      <c r="N20" s="93" t="n">
        <v>1</v>
      </c>
      <c r="O20" s="93" t="n"/>
      <c r="P20" s="45" t="n"/>
      <c r="Q20" s="55" t="n"/>
      <c r="R20" s="49" t="n"/>
      <c r="S20" s="89" t="n"/>
      <c r="T20" s="90" t="n">
        <v>1</v>
      </c>
      <c r="U20" s="159" t="n"/>
      <c r="V20" s="159" t="n"/>
      <c r="W20" s="159" t="n"/>
      <c r="X20" s="159" t="n"/>
    </row>
    <row r="21" ht="38.25" customHeight="1">
      <c r="A21" s="94" t="n"/>
      <c r="B21" s="95">
        <f>B15+#REF!</f>
        <v/>
      </c>
      <c r="C21" s="3" t="n"/>
      <c r="D21" s="96" t="n"/>
      <c r="E21" s="96" t="n"/>
      <c r="F21" s="96" t="n"/>
      <c r="G21" s="97" t="n"/>
      <c r="H21" s="98" t="inlineStr">
        <is>
          <t>Amershi, Ellah</t>
        </is>
      </c>
      <c r="I21" s="99" t="inlineStr">
        <is>
          <t>11:15 - 04:00</t>
        </is>
      </c>
      <c r="J21" s="45" t="n"/>
      <c r="K21" s="45" t="n">
        <v>1</v>
      </c>
      <c r="L21" s="45" t="n">
        <v>1</v>
      </c>
      <c r="M21" s="45" t="n">
        <v>1</v>
      </c>
      <c r="N21" s="45" t="n">
        <v>1</v>
      </c>
      <c r="O21" s="45" t="n">
        <v>1</v>
      </c>
      <c r="P21" s="45" t="n"/>
      <c r="Q21" s="55" t="n"/>
      <c r="R21" s="49" t="n"/>
      <c r="S21" s="89" t="n"/>
      <c r="T21" s="90" t="n">
        <v>1</v>
      </c>
      <c r="U21" s="159" t="n"/>
      <c r="V21" s="159" t="n"/>
      <c r="W21" s="159" t="n"/>
      <c r="X21" s="159" t="n"/>
    </row>
    <row r="22" ht="38.25" customHeight="1">
      <c r="A22" s="100" t="n"/>
      <c r="B22" s="101" t="n">
        <v>1</v>
      </c>
      <c r="C22" s="3" t="n"/>
      <c r="D22" s="96" t="n"/>
      <c r="E22" s="96" t="n"/>
      <c r="F22" s="96" t="n"/>
      <c r="G22" s="97" t="n"/>
      <c r="H22" s="98" t="inlineStr">
        <is>
          <t>Kaur, Harnoor</t>
        </is>
      </c>
      <c r="I22" s="99" t="inlineStr">
        <is>
          <t>11:15 - 04:00</t>
        </is>
      </c>
      <c r="J22" s="45" t="n"/>
      <c r="K22" s="49" t="n">
        <v>1</v>
      </c>
      <c r="L22" s="93" t="n">
        <v>1</v>
      </c>
      <c r="M22" s="93" t="n">
        <v>1</v>
      </c>
      <c r="N22" s="93" t="n">
        <v>1</v>
      </c>
      <c r="O22" s="93" t="n">
        <v>1</v>
      </c>
      <c r="P22" s="93" t="n"/>
      <c r="Q22" s="102" t="n"/>
      <c r="R22" s="49" t="n"/>
      <c r="S22" s="89" t="n"/>
      <c r="T22" s="90">
        <f>COUNTIF(#REF!,$P$41)+COUNTIF(#REF!,$Q$41)+COUNTIF(#REF!,$K$41)+COUNTIF(#REF!,$L$41)+COUNTIF(#REF!,$M$41)+COUNTIF(#REF!,$N$41)+COUNTIF(#REF!,$O$41)</f>
        <v/>
      </c>
      <c r="U22" s="159" t="n"/>
      <c r="V22" s="159" t="n"/>
      <c r="W22" s="159" t="n"/>
      <c r="X22" s="159" t="n"/>
    </row>
    <row r="23" ht="38.25" customHeight="1">
      <c r="A23" s="100" t="n"/>
      <c r="B23" s="103" t="n"/>
      <c r="C23" s="3" t="n"/>
      <c r="D23" s="96" t="n"/>
      <c r="E23" s="96" t="n"/>
      <c r="F23" s="96" t="n"/>
      <c r="G23" s="97" t="n"/>
      <c r="H23" s="98" t="inlineStr">
        <is>
          <t>Love, Kaiya</t>
        </is>
      </c>
      <c r="I23" s="99" t="inlineStr">
        <is>
          <t>11:15 - 04:00</t>
        </is>
      </c>
      <c r="J23" s="45" t="n"/>
      <c r="K23" s="49" t="n">
        <v>1</v>
      </c>
      <c r="L23" s="104" t="n">
        <v>1</v>
      </c>
      <c r="M23" s="104" t="n">
        <v>1</v>
      </c>
      <c r="N23" s="104" t="n">
        <v>1</v>
      </c>
      <c r="O23" s="104" t="n">
        <v>1</v>
      </c>
      <c r="P23" s="45" t="n"/>
      <c r="Q23" s="55" t="n"/>
      <c r="R23" s="49" t="n"/>
      <c r="S23" s="89" t="n"/>
      <c r="T23" s="90" t="n">
        <v>1</v>
      </c>
      <c r="U23" s="159" t="n"/>
      <c r="V23" s="159" t="n"/>
      <c r="W23" s="159" t="n"/>
      <c r="X23" s="159" t="n"/>
    </row>
    <row r="24" ht="38.25" customHeight="1">
      <c r="A24" s="100" t="n"/>
      <c r="B24" s="103" t="n"/>
      <c r="C24" s="3" t="n"/>
      <c r="D24" s="96" t="n"/>
      <c r="E24" s="96" t="n"/>
      <c r="F24" s="96" t="n"/>
      <c r="G24" s="97" t="n"/>
      <c r="H24" s="98" t="inlineStr">
        <is>
          <t>Manj, Gia</t>
        </is>
      </c>
      <c r="I24" s="99" t="inlineStr">
        <is>
          <t>12:15 - 06:30</t>
        </is>
      </c>
      <c r="J24" s="45" t="n"/>
      <c r="K24" s="45" t="n"/>
      <c r="L24" s="92" t="n">
        <v>1</v>
      </c>
      <c r="M24" s="91" t="n">
        <v>1</v>
      </c>
      <c r="N24" s="105" t="n">
        <v>1</v>
      </c>
      <c r="O24" s="105" t="n">
        <v>1</v>
      </c>
      <c r="P24" s="105" t="n">
        <v>1</v>
      </c>
      <c r="Q24" s="55" t="inlineStr">
        <is>
          <t>1</t>
        </is>
      </c>
      <c r="R24" s="49" t="n"/>
      <c r="S24" s="89" t="n"/>
      <c r="T24" s="90" t="n">
        <v>1</v>
      </c>
      <c r="U24" s="159" t="n"/>
      <c r="V24" s="159" t="n"/>
      <c r="W24" s="159" t="n"/>
      <c r="X24" s="159" t="n"/>
    </row>
    <row r="25" ht="27.75" customHeight="1">
      <c r="A25" s="106" t="inlineStr">
        <is>
          <t>DENIM: 69.99 when you buy 2 or more</t>
        </is>
      </c>
      <c r="C25" s="3" t="n"/>
      <c r="D25" s="96" t="n"/>
      <c r="E25" s="96" t="n"/>
      <c r="F25" s="96" t="n"/>
      <c r="G25" s="97" t="n"/>
      <c r="H25" s="98" t="inlineStr">
        <is>
          <t>Sidhu, Jasmin</t>
        </is>
      </c>
      <c r="I25" s="99" t="inlineStr">
        <is>
          <t>12:15 - 05:00</t>
        </is>
      </c>
      <c r="J25" s="45" t="n"/>
      <c r="K25" s="45" t="n"/>
      <c r="L25" s="92" t="n">
        <v>1</v>
      </c>
      <c r="M25" s="108" t="n">
        <v>1</v>
      </c>
      <c r="N25" s="108" t="n">
        <v>1</v>
      </c>
      <c r="O25" s="108" t="n">
        <v>1</v>
      </c>
      <c r="P25" s="108" t="n">
        <v>1</v>
      </c>
      <c r="Q25" s="55" t="n"/>
      <c r="R25" s="49" t="n"/>
      <c r="S25" s="89" t="n"/>
      <c r="T25" s="90" t="n">
        <v>1</v>
      </c>
      <c r="U25" s="159" t="n"/>
      <c r="V25" s="159" t="n"/>
      <c r="W25" s="159" t="n"/>
      <c r="X25" s="159" t="n"/>
    </row>
    <row r="26" ht="27.75" customHeight="1">
      <c r="A26" s="106" t="inlineStr">
        <is>
          <t xml:space="preserve">TOPS, OUTERWEAR, SHORTS: BOGO 50% </t>
        </is>
      </c>
      <c r="C26" s="3" t="n"/>
      <c r="D26" s="96" t="n"/>
      <c r="E26" s="96" t="n"/>
      <c r="F26" s="96" t="n"/>
      <c r="G26" s="97" t="n"/>
      <c r="H26" s="98" t="inlineStr">
        <is>
          <t>Guenard, Emily</t>
        </is>
      </c>
      <c r="I26" s="99" t="inlineStr">
        <is>
          <t>01:15 - 06:00</t>
        </is>
      </c>
      <c r="J26" s="45" t="n"/>
      <c r="K26" s="45" t="n"/>
      <c r="L26" s="45" t="n"/>
      <c r="M26" s="109" t="n">
        <v>1</v>
      </c>
      <c r="N26" s="92" t="n">
        <v>1</v>
      </c>
      <c r="O26" s="110" t="n">
        <v>1</v>
      </c>
      <c r="P26" s="110" t="n">
        <v>1</v>
      </c>
      <c r="Q26" s="111" t="inlineStr">
        <is>
          <t>1</t>
        </is>
      </c>
      <c r="R26" s="49" t="n"/>
      <c r="S26" s="89" t="n"/>
      <c r="T26" s="90" t="n">
        <v>1</v>
      </c>
      <c r="U26" s="159" t="n"/>
      <c r="V26" s="159" t="n"/>
      <c r="W26" s="159" t="n"/>
      <c r="X26" s="159" t="n"/>
    </row>
    <row r="27" ht="27.75" customHeight="1">
      <c r="A27" s="112" t="inlineStr">
        <is>
          <t>40 % off CLEARANCE</t>
        </is>
      </c>
      <c r="B27" s="113" t="n"/>
      <c r="C27" s="3" t="n"/>
      <c r="D27" s="96" t="n"/>
      <c r="E27" s="96" t="n"/>
      <c r="F27" s="96" t="n"/>
      <c r="G27" s="97" t="n"/>
      <c r="H27" s="98" t="inlineStr">
        <is>
          <t>Simpkin, Avery</t>
        </is>
      </c>
      <c r="I27" s="99" t="inlineStr">
        <is>
          <t>01:15 - 06:00</t>
        </is>
      </c>
      <c r="J27" s="45" t="n"/>
      <c r="K27" s="45" t="n"/>
      <c r="L27" s="45" t="n"/>
      <c r="M27" s="109" t="n">
        <v>1</v>
      </c>
      <c r="N27" s="104" t="n">
        <v>1</v>
      </c>
      <c r="O27" s="104" t="n">
        <v>1</v>
      </c>
      <c r="P27" s="104" t="n">
        <v>1</v>
      </c>
      <c r="Q27" s="114" t="inlineStr">
        <is>
          <t>1</t>
        </is>
      </c>
      <c r="R27" s="49" t="n"/>
      <c r="S27" s="89" t="n"/>
      <c r="T27" s="90" t="n">
        <v>1</v>
      </c>
      <c r="U27" s="159" t="n"/>
      <c r="V27" s="159" t="n"/>
      <c r="W27" s="159" t="n"/>
      <c r="X27" s="159" t="n"/>
    </row>
    <row r="28" ht="27.75" customHeight="1">
      <c r="A28" s="159" t="n"/>
      <c r="B28" s="113" t="n"/>
      <c r="C28" s="3" t="n"/>
      <c r="D28" s="96" t="n"/>
      <c r="E28" s="96" t="n"/>
      <c r="F28" s="96" t="n"/>
      <c r="G28" s="97" t="n"/>
      <c r="H28" s="98" t="inlineStr">
        <is>
          <t>Nguyen, Vova</t>
        </is>
      </c>
      <c r="I28" s="99" t="inlineStr">
        <is>
          <t>01:45 - 06:30</t>
        </is>
      </c>
      <c r="J28" s="45" t="n"/>
      <c r="K28" s="45" t="n"/>
      <c r="L28" s="45" t="n"/>
      <c r="M28" s="115" t="n">
        <v>1</v>
      </c>
      <c r="N28" s="108" t="n">
        <v>1</v>
      </c>
      <c r="O28" s="108" t="n">
        <v>1</v>
      </c>
      <c r="P28" s="108" t="n">
        <v>1</v>
      </c>
      <c r="Q28" s="116" t="inlineStr">
        <is>
          <t>1</t>
        </is>
      </c>
      <c r="R28" s="49" t="n"/>
      <c r="S28" s="89" t="n"/>
      <c r="T28" s="90" t="n">
        <v>1</v>
      </c>
      <c r="U28" s="159" t="n"/>
      <c r="V28" s="159" t="n"/>
      <c r="W28" s="159" t="n"/>
      <c r="X28" s="159" t="n"/>
    </row>
    <row r="29" ht="27.75" customHeight="1">
      <c r="A29" s="117" t="inlineStr">
        <is>
          <t>SW. $34.99, $39.99, 44.99, 49.99</t>
        </is>
      </c>
      <c r="B29" s="118" t="n"/>
      <c r="C29" s="3" t="n"/>
      <c r="D29" s="96" t="n"/>
      <c r="E29" s="96" t="n"/>
      <c r="F29" s="96" t="n"/>
      <c r="G29" s="97" t="n"/>
      <c r="H29" s="98" t="inlineStr">
        <is>
          <t>Herbert, Peyton</t>
        </is>
      </c>
      <c r="I29" s="99" t="inlineStr">
        <is>
          <t>01:45 - 06:30</t>
        </is>
      </c>
      <c r="J29" s="45" t="n"/>
      <c r="K29" s="45" t="n"/>
      <c r="L29" s="45" t="n"/>
      <c r="M29" s="115" t="n">
        <v>1</v>
      </c>
      <c r="N29" s="104" t="n">
        <v>1</v>
      </c>
      <c r="O29" s="104" t="n">
        <v>1</v>
      </c>
      <c r="P29" s="104" t="n">
        <v>1</v>
      </c>
      <c r="Q29" s="114" t="inlineStr">
        <is>
          <t>1</t>
        </is>
      </c>
      <c r="R29" s="88" t="n"/>
      <c r="S29" s="89" t="n"/>
      <c r="T29" s="90" t="n">
        <v>1</v>
      </c>
      <c r="U29" s="159" t="n"/>
      <c r="V29" s="159" t="n"/>
      <c r="W29" s="159" t="n"/>
      <c r="X29" s="159" t="n"/>
    </row>
    <row r="30" ht="27.75" customHeight="1">
      <c r="A30" s="117" t="n"/>
      <c r="B30" s="2" t="n"/>
      <c r="C30" s="3" t="n"/>
      <c r="D30" s="96" t="n"/>
      <c r="E30" s="96" t="n"/>
      <c r="F30" s="96" t="n"/>
      <c r="G30" s="97" t="n"/>
      <c r="H30" s="98" t="inlineStr">
        <is>
          <t>Mendoza, Ava</t>
        </is>
      </c>
      <c r="I30" s="99" t="inlineStr">
        <is>
          <t>01:45 - 06:30</t>
        </is>
      </c>
      <c r="J30" s="45" t="n"/>
      <c r="K30" s="119" t="n"/>
      <c r="L30" s="119" t="n"/>
      <c r="M30" s="87" t="n">
        <v>1</v>
      </c>
      <c r="N30" s="93" t="n">
        <v>1</v>
      </c>
      <c r="O30" s="93" t="n">
        <v>1</v>
      </c>
      <c r="P30" s="93" t="n">
        <v>1</v>
      </c>
      <c r="Q30" s="102" t="inlineStr">
        <is>
          <t>1</t>
        </is>
      </c>
      <c r="R30" s="88" t="n"/>
      <c r="S30" s="89" t="n"/>
      <c r="T30" s="90" t="n">
        <v>1</v>
      </c>
      <c r="U30" s="159" t="n"/>
      <c r="V30" s="159" t="n"/>
      <c r="W30" s="159" t="n"/>
      <c r="X30" s="159" t="n"/>
    </row>
    <row r="31" ht="27.75" customHeight="1">
      <c r="A31" s="120" t="n"/>
      <c r="B31" s="121" t="n"/>
      <c r="C31" s="3" t="n"/>
      <c r="D31" s="96" t="n"/>
      <c r="E31" s="96" t="n"/>
      <c r="F31" s="96" t="n"/>
      <c r="G31" s="97" t="n"/>
      <c r="H31" s="98" t="inlineStr">
        <is>
          <t>Sadorra, Maya</t>
        </is>
      </c>
      <c r="I31" s="99" t="inlineStr">
        <is>
          <t>01:45 - 06:30</t>
        </is>
      </c>
      <c r="J31" s="45" t="n"/>
      <c r="K31" s="119" t="n"/>
      <c r="L31" s="65" t="n"/>
      <c r="M31" s="87" t="n">
        <v>1</v>
      </c>
      <c r="N31" s="93" t="n">
        <v>1</v>
      </c>
      <c r="O31" s="93" t="n">
        <v>1</v>
      </c>
      <c r="P31" s="93" t="n">
        <v>1</v>
      </c>
      <c r="Q31" s="102" t="inlineStr">
        <is>
          <t>1</t>
        </is>
      </c>
      <c r="R31" s="88" t="n"/>
      <c r="S31" s="89" t="n"/>
      <c r="T31" s="90" t="n"/>
      <c r="U31" s="159" t="n"/>
      <c r="V31" s="159" t="n"/>
      <c r="W31" s="159" t="n"/>
      <c r="X31" s="159" t="n"/>
    </row>
    <row r="32" ht="27.75" customHeight="1">
      <c r="A32" s="122" t="inlineStr">
        <is>
          <t>MARKETING</t>
        </is>
      </c>
      <c r="B32" s="360" t="n"/>
      <c r="C32" s="124" t="n"/>
      <c r="D32" s="96" t="n"/>
      <c r="E32" s="96" t="n"/>
      <c r="F32" s="96" t="n"/>
      <c r="G32" s="97" t="n"/>
      <c r="H32" s="98" t="n"/>
      <c r="I32" s="99" t="n"/>
      <c r="J32" s="119" t="n"/>
      <c r="K32" s="45" t="n"/>
      <c r="L32" s="45" t="n"/>
      <c r="M32" s="49" t="n"/>
      <c r="N32" s="125" t="n"/>
      <c r="O32" s="125" t="n"/>
      <c r="P32" s="125" t="n"/>
      <c r="Q32" s="126" t="n"/>
      <c r="R32" s="49" t="n"/>
      <c r="S32" s="89" t="n"/>
      <c r="T32" s="127" t="n"/>
      <c r="U32" s="159" t="n"/>
      <c r="V32" s="159" t="n"/>
      <c r="W32" s="159" t="n"/>
      <c r="X32" s="159" t="n"/>
    </row>
    <row r="33" ht="27.75" customHeight="1">
      <c r="A33" s="128" t="n"/>
      <c r="B33" s="360" t="n"/>
      <c r="C33" s="124" t="n"/>
      <c r="D33" s="96" t="n"/>
      <c r="E33" s="96" t="n"/>
      <c r="F33" s="96" t="n"/>
      <c r="G33" s="97" t="n"/>
      <c r="H33" s="33" t="n"/>
      <c r="I33" s="129" t="n"/>
      <c r="J33" s="119" t="n"/>
      <c r="K33" s="45" t="n"/>
      <c r="L33" s="45" t="n"/>
      <c r="M33" s="45" t="n"/>
      <c r="N33" s="45" t="n"/>
      <c r="O33" s="119" t="n"/>
      <c r="P33" s="119" t="n"/>
      <c r="Q33" s="130" t="n"/>
      <c r="R33" s="87" t="n"/>
      <c r="S33" s="89" t="n"/>
      <c r="T33" s="131" t="n"/>
      <c r="U33" s="159" t="n"/>
      <c r="V33" s="159" t="n"/>
      <c r="W33" s="159" t="n"/>
      <c r="X33" s="159" t="n"/>
    </row>
    <row r="34" ht="27.75" customHeight="1">
      <c r="A34" s="128" t="n"/>
      <c r="B34" s="360" t="n"/>
      <c r="C34" s="124" t="n"/>
      <c r="D34" s="96" t="n"/>
      <c r="E34" s="96" t="n"/>
      <c r="F34" s="96" t="n"/>
      <c r="G34" s="97" t="n"/>
      <c r="H34" s="132" t="n"/>
      <c r="I34" s="133" t="n"/>
      <c r="J34" s="119" t="n"/>
      <c r="K34" s="45" t="n"/>
      <c r="L34" s="45" t="n"/>
      <c r="M34" s="45" t="n"/>
      <c r="N34" s="45" t="n"/>
      <c r="O34" s="119" t="n"/>
      <c r="P34" s="119" t="n"/>
      <c r="Q34" s="130" t="n"/>
      <c r="R34" s="87" t="n"/>
      <c r="S34" s="89" t="n"/>
      <c r="T34" s="134" t="n"/>
      <c r="U34" s="159" t="n"/>
      <c r="V34" s="159" t="n"/>
      <c r="W34" s="159" t="n"/>
      <c r="X34" s="159" t="n"/>
    </row>
    <row r="35" ht="27.75" customHeight="1">
      <c r="A35" s="122" t="inlineStr">
        <is>
          <t>OTHER</t>
        </is>
      </c>
      <c r="B35" s="360" t="n"/>
      <c r="C35" s="124" t="n"/>
      <c r="D35" s="96" t="n"/>
      <c r="E35" s="96" t="n"/>
      <c r="F35" s="96" t="n"/>
      <c r="G35" s="97" t="n"/>
      <c r="H35" s="135" t="n"/>
      <c r="I35" s="136" t="n"/>
      <c r="J35" s="119" t="n"/>
      <c r="K35" s="119" t="n"/>
      <c r="L35" s="119" t="n"/>
      <c r="M35" s="119" t="n"/>
      <c r="N35" s="119" t="n"/>
      <c r="O35" s="119" t="n"/>
      <c r="P35" s="119" t="n"/>
      <c r="Q35" s="130" t="n"/>
      <c r="R35" s="87" t="n"/>
      <c r="S35" s="89" t="n"/>
      <c r="T35" s="134" t="n"/>
      <c r="U35" s="159" t="n"/>
      <c r="V35" s="159" t="n"/>
      <c r="W35" s="159" t="n"/>
      <c r="X35" s="159" t="n"/>
    </row>
    <row r="36" ht="27.75" customHeight="1">
      <c r="A36" s="128" t="n"/>
      <c r="B36" s="360" t="n"/>
      <c r="C36" s="124" t="n"/>
      <c r="D36" s="96" t="n"/>
      <c r="E36" s="96" t="n"/>
      <c r="F36" s="96" t="n"/>
      <c r="G36" s="97" t="n"/>
      <c r="H36" s="135" t="n"/>
      <c r="I36" s="137" t="n"/>
      <c r="J36" s="138" t="n"/>
      <c r="K36" s="138" t="n"/>
      <c r="L36" s="138" t="n"/>
      <c r="M36" s="138" t="n"/>
      <c r="N36" s="138" t="n"/>
      <c r="O36" s="138" t="n"/>
      <c r="P36" s="138" t="n"/>
      <c r="Q36" s="33" t="n"/>
      <c r="R36" s="118" t="n"/>
      <c r="S36" s="138" t="n"/>
      <c r="T36" s="134" t="n"/>
      <c r="U36" s="159" t="n"/>
      <c r="V36" s="159" t="n"/>
      <c r="W36" s="159" t="n"/>
      <c r="X36" s="159" t="n"/>
    </row>
    <row r="37" ht="27.75" customHeight="1">
      <c r="A37" s="139" t="n"/>
      <c r="B37" s="374" t="n"/>
      <c r="C37" s="124" t="n"/>
      <c r="D37" s="96" t="n"/>
      <c r="E37" s="96" t="n"/>
      <c r="F37" s="96" t="n"/>
      <c r="G37" s="97" t="n"/>
      <c r="H37" s="135" t="n"/>
      <c r="I37" s="137" t="n"/>
      <c r="J37" s="141" t="n"/>
      <c r="K37" s="141" t="n"/>
      <c r="L37" s="141" t="n"/>
      <c r="M37" s="141" t="n"/>
      <c r="N37" s="141" t="n"/>
      <c r="O37" s="141" t="n"/>
      <c r="P37" s="141" t="n"/>
      <c r="Q37" s="142" t="n"/>
      <c r="R37" s="143" t="n"/>
      <c r="S37" s="144" t="n"/>
      <c r="T37" s="134" t="n"/>
      <c r="U37" s="159" t="n"/>
      <c r="V37" s="159" t="n"/>
      <c r="W37" s="159" t="n"/>
      <c r="X37" s="159" t="n"/>
    </row>
    <row r="38" ht="26.25" customHeight="1">
      <c r="A38" s="145" t="n"/>
      <c r="B38" s="146" t="n"/>
      <c r="C38" s="124" t="n"/>
      <c r="D38" s="147" t="n"/>
      <c r="E38" s="147" t="n"/>
      <c r="F38" s="147" t="n"/>
      <c r="G38" s="147" t="n"/>
      <c r="H38" s="159" t="n"/>
      <c r="I38" s="137" t="n"/>
      <c r="J38" s="148" t="n"/>
      <c r="K38" s="148" t="n"/>
      <c r="L38" s="148" t="n"/>
      <c r="M38" s="148" t="n"/>
      <c r="N38" s="148" t="n"/>
      <c r="O38" s="148" t="n"/>
      <c r="P38" s="148" t="n"/>
      <c r="Q38" s="149" t="n"/>
      <c r="R38" s="150" t="n"/>
      <c r="S38" s="151" t="n"/>
      <c r="T38" s="134" t="n"/>
      <c r="U38" s="159" t="n"/>
      <c r="V38" s="159" t="n"/>
      <c r="W38" s="159" t="n"/>
      <c r="X38" s="159" t="n"/>
    </row>
    <row r="39" ht="26.25" customHeight="1">
      <c r="A39" s="145" t="n"/>
      <c r="B39" s="146" t="n"/>
      <c r="C39" s="124" t="n"/>
      <c r="D39" s="147" t="n"/>
      <c r="E39" s="147" t="n"/>
      <c r="F39" s="147" t="n"/>
      <c r="G39" s="147" t="n"/>
      <c r="H39" s="159" t="n"/>
      <c r="I39" s="135" t="inlineStr">
        <is>
          <t>SELECT</t>
        </is>
      </c>
      <c r="J39" s="148" t="n"/>
      <c r="K39" s="148" t="n"/>
      <c r="L39" s="148" t="n"/>
      <c r="M39" s="148" t="n"/>
      <c r="N39" s="148" t="n"/>
      <c r="O39" s="148" t="n"/>
      <c r="P39" s="148" t="n"/>
      <c r="Q39" s="149" t="n"/>
      <c r="R39" s="150" t="n"/>
      <c r="S39" s="151" t="n"/>
      <c r="T39" s="134" t="n"/>
      <c r="U39" s="159" t="n"/>
      <c r="V39" s="159" t="n"/>
      <c r="W39" s="159" t="n"/>
      <c r="X39" s="159" t="n"/>
    </row>
    <row r="40" ht="26.25" customHeight="1">
      <c r="A40" s="145" t="n"/>
      <c r="B40" s="146" t="n"/>
      <c r="C40" s="124" t="n"/>
      <c r="D40" s="147" t="n"/>
      <c r="E40" s="147" t="n"/>
      <c r="F40" s="147" t="n"/>
      <c r="G40" s="147" t="n"/>
      <c r="H40" s="159" t="n"/>
      <c r="I40" s="64" t="n"/>
      <c r="J40" s="148" t="n"/>
      <c r="K40" s="148" t="n"/>
      <c r="L40" s="148" t="n"/>
      <c r="M40" s="148" t="n"/>
      <c r="N40" s="148" t="n"/>
      <c r="O40" s="148" t="n"/>
      <c r="P40" s="148" t="n"/>
      <c r="Q40" s="149" t="n"/>
      <c r="R40" s="150" t="n"/>
      <c r="S40" s="151" t="n"/>
      <c r="T40" s="134" t="n"/>
      <c r="U40" s="159" t="n"/>
      <c r="V40" s="159" t="n"/>
      <c r="W40" s="159" t="n"/>
      <c r="X40" s="159" t="n"/>
    </row>
    <row r="41" ht="17.25" customHeight="1">
      <c r="A41" s="159" t="n"/>
      <c r="B41" s="2" t="n"/>
      <c r="C41" s="124" t="n"/>
      <c r="D41" s="159" t="n"/>
      <c r="E41" s="159" t="n"/>
      <c r="F41" s="159" t="n"/>
      <c r="G41" s="159" t="n"/>
      <c r="H41" s="159" t="n"/>
      <c r="I41" s="64" t="n"/>
      <c r="J41" s="152" t="inlineStr">
        <is>
          <t>CEL</t>
        </is>
      </c>
      <c r="K41" s="153" t="inlineStr">
        <is>
          <t>MENS</t>
        </is>
      </c>
      <c r="L41" s="153" t="inlineStr">
        <is>
          <t>WOMENS</t>
        </is>
      </c>
      <c r="M41" s="153" t="inlineStr">
        <is>
          <t>FLEX</t>
        </is>
      </c>
      <c r="N41" s="154" t="inlineStr">
        <is>
          <t>STYLIST</t>
        </is>
      </c>
      <c r="O41" s="155" t="inlineStr">
        <is>
          <t>CASH</t>
        </is>
      </c>
      <c r="P41" s="155" t="inlineStr">
        <is>
          <t>FITS</t>
        </is>
      </c>
      <c r="Q41" s="156" t="inlineStr">
        <is>
          <t>GREET</t>
        </is>
      </c>
      <c r="R41" s="157" t="inlineStr">
        <is>
          <t>OFFICE</t>
        </is>
      </c>
      <c r="S41" s="68" t="n"/>
      <c r="T41" s="158">
        <f>COUNTIF(#REF!,$P$41)+COUNTIF(#REF!,$Q$41)+COUNTIF(#REF!,$K$41)+COUNTIF(#REF!,$L$41)+COUNTIF(#REF!,$M$41)+COUNTIF(#REF!,$N$41)+COUNTIF(#REF!,$O$41)</f>
        <v/>
      </c>
      <c r="U41" s="159" t="n"/>
      <c r="V41" s="159" t="n"/>
      <c r="W41" s="159" t="n"/>
      <c r="X41" s="159" t="n"/>
    </row>
  </sheetData>
  <mergeCells count="29">
    <mergeCell ref="E5:E17"/>
    <mergeCell ref="H10:I10"/>
    <mergeCell ref="G7:G17"/>
    <mergeCell ref="A36:B36"/>
    <mergeCell ref="H4:I4"/>
    <mergeCell ref="H2:S2"/>
    <mergeCell ref="H9:I9"/>
    <mergeCell ref="H6:I6"/>
    <mergeCell ref="H16:S16"/>
    <mergeCell ref="A25:B25"/>
    <mergeCell ref="A37:B37"/>
    <mergeCell ref="D3:D17"/>
    <mergeCell ref="H11:I11"/>
    <mergeCell ref="A26:B26"/>
    <mergeCell ref="A2:B2"/>
    <mergeCell ref="H7:I7"/>
    <mergeCell ref="A33:B33"/>
    <mergeCell ref="A32:B32"/>
    <mergeCell ref="A14:B14"/>
    <mergeCell ref="H13:I13"/>
    <mergeCell ref="H3:I3"/>
    <mergeCell ref="A35:B35"/>
    <mergeCell ref="H12:I12"/>
    <mergeCell ref="H8:I8"/>
    <mergeCell ref="H1:S1"/>
    <mergeCell ref="F7:F17"/>
    <mergeCell ref="H5:I5"/>
    <mergeCell ref="H14:I14"/>
    <mergeCell ref="A34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2025-06-17T20:55:33Z</dcterms:created>
  <dcterms:modified xmlns:dcterms="http://purl.org/dc/terms/" xmlns:xsi="http://www.w3.org/2001/XMLSchema-instance" xsi:type="dcterms:W3CDTF">2025-06-17T20:56:12Z</dcterms:modified>
</cp:coreProperties>
</file>