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Management - Checklist"/>
    <sheet r:id="rId2" sheetId="2" name="Stylist - Checklist"/>
    <sheet r:id="rId3" sheetId="3" name="EOD Closing Email Template"/>
    <sheet r:id="rId4" sheetId="4" name="Monday"/>
    <sheet r:id="rId5" sheetId="5" name="Tuesday"/>
    <sheet r:id="rId6" sheetId="6" name="Test"/>
    <sheet r:id="rId7" sheetId="7" name="Wednesday"/>
    <sheet r:id="rId8" sheetId="8" name="Thursday"/>
    <sheet r:id="rId9" sheetId="9" name="Friday"/>
    <sheet r:id="rId10" sheetId="10" name="Saturday"/>
    <sheet r:id="rId11" sheetId="11" name="Sunday"/>
  </sheets>
  <definedNames>
    <definedName name="_xlnm._FilterDatabase" localSheetId="8">Friday!$A$2:$X$45</definedName>
    <definedName name="_xlnm._FilterDatabase" localSheetId="3">Monday!$A$2:$X$54</definedName>
    <definedName name="_xlnm._FilterDatabase" localSheetId="9">Saturday!$A$2:$X$55</definedName>
    <definedName name="_xlnm._FilterDatabase" localSheetId="7">Thursday!$A$2:$X$47</definedName>
    <definedName name="_xlnm._FilterDatabase" localSheetId="4">Tuesday!$A$2:$X$44</definedName>
    <definedName name="_xlnm._FilterDatabase" localSheetId="6">Wednesday!$A$2:$X$61</definedName>
    <definedName name="Categories">[1]!Category[Category]</definedName>
    <definedName name="ColumnTitle1">[1]!List[[#Headers],[ITEM]]</definedName>
    <definedName name="ColumnTitle2">[1]!Category[[#Headers],[Category]]</definedName>
    <definedName name="INITIALS" localSheetId="8">'[2]Employee Productivity'!#REF!</definedName>
    <definedName name="INITIALS" localSheetId="9">'[2]Employee Productivity'!#REF!</definedName>
    <definedName name="INITIALS" localSheetId="10">'[2]Employee Productivity'!#REF!</definedName>
    <definedName name="INITIALS" localSheetId="7">'[2]Employee Productivity'!#REF!</definedName>
    <definedName name="INITIALS" localSheetId="4">'[2]Employee Productivity'!#REF!</definedName>
    <definedName name="INITIALS" localSheetId="6">'[2]Employee Productivity'!#REF!</definedName>
    <definedName name="INITIALS">'[2]Employee Productivity'!#REF!</definedName>
    <definedName name="MANAGERS" localSheetId="8">'[2]Employee Productivity'!#REF!</definedName>
    <definedName name="MANAGERS" localSheetId="9">'[2]Employee Productivity'!#REF!</definedName>
    <definedName name="MANAGERS" localSheetId="10">'[2]Employee Productivity'!#REF!</definedName>
    <definedName name="MANAGERS" localSheetId="7">'[2]Employee Productivity'!#REF!</definedName>
    <definedName name="MANAGERS" localSheetId="4">'[2]Employee Productivity'!#REF!</definedName>
    <definedName name="MANAGERS" localSheetId="6">'[2]Employee Productivity'!#REF!</definedName>
    <definedName name="MANAGERS">'[2]Employee Productivity'!#REF!</definedName>
    <definedName name="_xlnm.Print_Area" localSheetId="8">Friday!$A$2:$W$46</definedName>
    <definedName name="_xlnm.Print_Area" localSheetId="0">'Management - Checklist'!$A$1:$H$73</definedName>
    <definedName name="_xlnm.Print_Area" localSheetId="3">Monday!$A$1:$Y$55</definedName>
    <definedName name="_xlnm.Print_Area" localSheetId="9">Saturday!$A$1:$Y$56</definedName>
    <definedName name="_xlnm.Print_Area" localSheetId="1">'Stylist - Checklist'!$A$1:$H$27</definedName>
    <definedName name="_xlnm.Print_Area" localSheetId="10">Sunday!$A$1:$U$37</definedName>
    <definedName name="_xlnm.Print_Area" localSheetId="7">Thursday!$A$2:$W$30</definedName>
    <definedName name="_xlnm.Print_Area" localSheetId="4">Tuesday!$A$1:$Y$45</definedName>
    <definedName name="_xlnm.Print_Area" localSheetId="6">Wednesday!$A$2:$W$36</definedName>
    <definedName name="SELLINGZONES" localSheetId="8">Friday!$L$48:$S$48</definedName>
    <definedName name="SELLINGZONES" localSheetId="3">Monday!$L$54:$S$54</definedName>
    <definedName name="SELLINGZONES" localSheetId="9">Saturday!$L$62:$S$62</definedName>
    <definedName name="SELLINGZONES" localSheetId="10">Sunday!$J$41:$Q$41</definedName>
    <definedName name="SELLINGZONES" localSheetId="7">Thursday!$L$51:$S$51</definedName>
    <definedName name="SELLINGZONES" localSheetId="4">Tuesday!$L$46:$S$46</definedName>
    <definedName name="SELLINGZONES" localSheetId="6">Wednesday!$L$50:$S$50</definedName>
    <definedName name="SELLINGZONES">#REF!</definedName>
    <definedName name="Store_List">#REF!</definedName>
    <definedName name="stylists" localSheetId="8">'[2]Employee Productivity'!#REF!</definedName>
    <definedName name="stylists" localSheetId="9">'[2]Employee Productivity'!#REF!</definedName>
    <definedName name="stylists" localSheetId="10">'[2]Employee Productivity'!#REF!</definedName>
    <definedName name="stylists" localSheetId="7">'[2]Employee Productivity'!#REF!</definedName>
    <definedName name="stylists" localSheetId="4">'[2]Employee Productivity'!#REF!</definedName>
    <definedName name="stylists" localSheetId="6">'[2]Employee Productivity'!#REF!</definedName>
    <definedName name="stylists">'[2]Employee Productivity'!#REF!</definedName>
    <definedName name="zones" localSheetId="8">Friday!$I$48:$V$48</definedName>
    <definedName name="zones" localSheetId="3">Monday!$I$54:$V$54</definedName>
    <definedName name="zones" localSheetId="9">Saturday!$J$62:$V$62</definedName>
    <definedName name="zones" localSheetId="10">Sunday!$I$41:$R$41</definedName>
    <definedName name="zones" localSheetId="7">Thursday!$I$51:$V$51</definedName>
    <definedName name="zones" localSheetId="4">Tuesday!$I$46:$V$46</definedName>
    <definedName name="zones" localSheetId="6">Wednesday!$I$50:$V$50</definedName>
  </definedNames>
  <calcPr fullCalcOnLoad="1"/>
</workbook>
</file>

<file path=xl/sharedStrings.xml><?xml version="1.0" encoding="utf-8"?>
<sst xmlns="http://schemas.openxmlformats.org/spreadsheetml/2006/main" count="1281" uniqueCount="297">
  <si>
    <t xml:space="preserve"> </t>
  </si>
  <si>
    <t>T O D A Y ' S   G O A L S</t>
  </si>
  <si>
    <t>H O U R L Y   S E G M E N T S</t>
  </si>
  <si>
    <t>DATE</t>
  </si>
  <si>
    <t>05.25.2025</t>
  </si>
  <si>
    <t>LEARNING LAB: BEHAVIOURS &amp; OBSERVATIONS</t>
  </si>
  <si>
    <t>HOURS OF OPERATIONS</t>
  </si>
  <si>
    <t>11am - 12pm</t>
  </si>
  <si>
    <t>12pm - 1pm</t>
  </si>
  <si>
    <t>1pm - 2pm</t>
  </si>
  <si>
    <t>2pm - 3pm</t>
  </si>
  <si>
    <t>3pm - 4pm</t>
  </si>
  <si>
    <t>4pm - 5pm</t>
  </si>
  <si>
    <t>5pm - 6pm</t>
  </si>
  <si>
    <t>6pm - 7pm</t>
  </si>
  <si>
    <t>DAY SALES TARGET</t>
  </si>
  <si>
    <t>HOURLY SALES CONTRIBUTION %</t>
  </si>
  <si>
    <r>
      <t xml:space="preserve">NOTES &amp; OBSERVATIONS
</t>
    </r>
    <r>
      <rPr>
        <b/>
        <i/>
        <sz val="12"/>
        <color theme="1"/>
        <rFont val="Arial"/>
        <family val="2"/>
      </rPr>
      <t>Complete throughout the day</t>
    </r>
  </si>
  <si>
    <t>STRETCH TARGET</t>
  </si>
  <si>
    <t>1ST BREAK TAKEN</t>
  </si>
  <si>
    <t>CUMULATIVE SALES TARGET</t>
  </si>
  <si>
    <t>LAST YEAR SALES</t>
  </si>
  <si>
    <t>CUMULATIVE STRETCH TARGET</t>
  </si>
  <si>
    <t>LAST YEAR TRAFFIC</t>
  </si>
  <si>
    <t>2ND BREAK TAKEN (IF APPLICABLE)</t>
  </si>
  <si>
    <t>OTHER: __________________________________</t>
  </si>
  <si>
    <t>CUMULATIVE SALES ACTUAL</t>
  </si>
  <si>
    <t>CURRENT TRAFFIC TREND (+/-)</t>
  </si>
  <si>
    <t>TRAFFIC</t>
  </si>
  <si>
    <t>PROJECTED TRAFFIC</t>
  </si>
  <si>
    <t>TRANSACTIONS</t>
  </si>
  <si>
    <t>TRANSACTION GOAL</t>
  </si>
  <si>
    <t>CONVERSION</t>
  </si>
  <si>
    <t>CONVERSION TARGET</t>
  </si>
  <si>
    <t>UPT</t>
  </si>
  <si>
    <t>ATV</t>
  </si>
  <si>
    <t>OTHER: _________________</t>
  </si>
  <si>
    <t>M O N T H   T O   D A T E   P E R F O R M A N C E</t>
  </si>
  <si>
    <t>CEL SIGN-OFF (INITIALS)</t>
  </si>
  <si>
    <t>MONTH SALES PLAN</t>
  </si>
  <si>
    <t>MONTH TO DATE SALES</t>
  </si>
  <si>
    <t>Z O N E   C H A R T</t>
  </si>
  <si>
    <t>% TO MONTH SALES PLAN</t>
  </si>
  <si>
    <t>Name</t>
  </si>
  <si>
    <t>Shift</t>
  </si>
  <si>
    <t>10am-11am</t>
  </si>
  <si>
    <t>Sales Target</t>
  </si>
  <si>
    <t>TARAN</t>
  </si>
  <si>
    <t>10-630</t>
  </si>
  <si>
    <t>OFFICE</t>
  </si>
  <si>
    <t>CEL</t>
  </si>
  <si>
    <t>FLEX</t>
  </si>
  <si>
    <t>CASH</t>
  </si>
  <si>
    <t>SIERRA</t>
  </si>
  <si>
    <t>WOMENS</t>
  </si>
  <si>
    <t>JASMIN</t>
  </si>
  <si>
    <t>11:15-4</t>
  </si>
  <si>
    <t>FITS</t>
  </si>
  <si>
    <t>SAIGE</t>
  </si>
  <si>
    <t>11-4</t>
  </si>
  <si>
    <t>GIA</t>
  </si>
  <si>
    <t>MENS</t>
  </si>
  <si>
    <t>EMILY</t>
  </si>
  <si>
    <t>12:15-5</t>
  </si>
  <si>
    <t>DENIM: 69.99 when you buy 2 or more</t>
  </si>
  <si>
    <t>CATHERINE</t>
  </si>
  <si>
    <t xml:space="preserve">TOPS, OUTERWEAR, SHORTS: BOGO 50% </t>
  </si>
  <si>
    <t>NAAIJA</t>
  </si>
  <si>
    <t>115-6</t>
  </si>
  <si>
    <t>GREET</t>
  </si>
  <si>
    <t>40 % off CLEARANCE</t>
  </si>
  <si>
    <t>ELLAH</t>
  </si>
  <si>
    <t>AVA M</t>
  </si>
  <si>
    <t>145-630</t>
  </si>
  <si>
    <t>PRE-CLOSE</t>
  </si>
  <si>
    <t>SW. $34.99, $39.99, 44.99, 49.99</t>
  </si>
  <si>
    <t>TRISHA</t>
  </si>
  <si>
    <t>AMITA</t>
  </si>
  <si>
    <t>AVERY</t>
  </si>
  <si>
    <t>MARKETING</t>
  </si>
  <si>
    <t>PEYTON</t>
  </si>
  <si>
    <t>10-245</t>
  </si>
  <si>
    <t>OTHER</t>
  </si>
  <si>
    <t>SELECT</t>
  </si>
  <si>
    <t>STYLIST</t>
  </si>
  <si>
    <t>05.24.2025</t>
  </si>
  <si>
    <t>9am - 10am</t>
  </si>
  <si>
    <t>10am - 11am</t>
  </si>
  <si>
    <t>7pm - 8pm</t>
  </si>
  <si>
    <t>8pm - 9pm</t>
  </si>
  <si>
    <t>SMART GOAL</t>
  </si>
  <si>
    <t>CHAT OUT</t>
  </si>
  <si>
    <t>RICKY</t>
  </si>
  <si>
    <t>9-530</t>
  </si>
  <si>
    <t>SABZ</t>
  </si>
  <si>
    <t>10-4</t>
  </si>
  <si>
    <t>10:15-3</t>
  </si>
  <si>
    <t>LELAND</t>
  </si>
  <si>
    <t>RUPINDER</t>
  </si>
  <si>
    <t>MICHAEL</t>
  </si>
  <si>
    <t>SIMER</t>
  </si>
  <si>
    <t>1-930</t>
  </si>
  <si>
    <t>KAIYA</t>
  </si>
  <si>
    <t xml:space="preserve">GIA </t>
  </si>
  <si>
    <t>215-7</t>
  </si>
  <si>
    <t>SARAH</t>
  </si>
  <si>
    <t>445-930</t>
  </si>
  <si>
    <t>TALIA</t>
  </si>
  <si>
    <t>LESLEY</t>
  </si>
  <si>
    <t>9-145</t>
  </si>
  <si>
    <t>TASK</t>
  </si>
  <si>
    <t>HR &amp; PEOPLE</t>
  </si>
  <si>
    <t>BRAND ENVIRONMENT</t>
  </si>
  <si>
    <t>HEALTHY &amp; SAFETY</t>
  </si>
  <si>
    <t>LOSS PREVENTION</t>
  </si>
  <si>
    <t>BREAK</t>
  </si>
  <si>
    <t>SHIPMENT</t>
  </si>
  <si>
    <t xml:space="preserve"> .</t>
  </si>
  <si>
    <t>05.30.2025</t>
  </si>
  <si>
    <t>8am-9am</t>
  </si>
  <si>
    <t>9am-10am</t>
  </si>
  <si>
    <t>MONTH TO GO</t>
  </si>
  <si>
    <t>DARCY</t>
  </si>
  <si>
    <t>MARIA</t>
  </si>
  <si>
    <t>Clearance additional 40% off</t>
  </si>
  <si>
    <t>RYLEIGH</t>
  </si>
  <si>
    <t>2:15-7</t>
  </si>
  <si>
    <t>4:45-930</t>
  </si>
  <si>
    <t>430-9</t>
  </si>
  <si>
    <t>MIKAELA</t>
  </si>
  <si>
    <t>9-1:45</t>
  </si>
  <si>
    <t>Acknowledge every consumer, ensure that front section is zoned</t>
  </si>
  <si>
    <t>Marketing Activation on September 4th Labour Day Weekend</t>
  </si>
  <si>
    <t>GWP Carryall - Spend $149 pre-tax. Use redemption code on Xstore</t>
  </si>
  <si>
    <t>New August Incentive - 3 tiers!</t>
  </si>
  <si>
    <t xml:space="preserve">  </t>
  </si>
  <si>
    <t>05.29.2025</t>
  </si>
  <si>
    <t>NADEEN</t>
  </si>
  <si>
    <t>12-5</t>
  </si>
  <si>
    <t>VOVA</t>
  </si>
  <si>
    <t>AVA W</t>
  </si>
  <si>
    <t>Conversion is key! Aim to convert 1 of 4 consumers you service</t>
  </si>
  <si>
    <t>Maximize on the fitting room experience to drive ATV and UPT</t>
  </si>
  <si>
    <t>ELLA</t>
  </si>
  <si>
    <t>Gift giving ideas/suggestions are a must at this time!</t>
  </si>
  <si>
    <t>05.28.2025</t>
  </si>
  <si>
    <t>8-430</t>
  </si>
  <si>
    <t>2-7</t>
  </si>
  <si>
    <t>8-12:45</t>
  </si>
  <si>
    <t>1115-4</t>
  </si>
  <si>
    <t>1215-5</t>
  </si>
  <si>
    <t>HARNOOR</t>
  </si>
  <si>
    <t>KIRAN</t>
  </si>
  <si>
    <t>SHAE</t>
  </si>
  <si>
    <t>SELLING HOURS</t>
  </si>
  <si>
    <t>CONSUMER EXPERIENCE</t>
  </si>
  <si>
    <t>OPERATIONS</t>
  </si>
  <si>
    <t>JH&amp;S Training Week of August 7</t>
  </si>
  <si>
    <t>Please use ladders / Lift items with legs and not back</t>
  </si>
  <si>
    <t>ThinkLP decommissioned. Submit through LS&amp;Co. To Go.</t>
  </si>
  <si>
    <t>05.27.2025</t>
  </si>
  <si>
    <t>10-5</t>
  </si>
  <si>
    <t>05.26.2025</t>
  </si>
  <si>
    <t>OTHER:SMART GOAL MET</t>
  </si>
  <si>
    <t>10-430</t>
  </si>
  <si>
    <t>MAYA</t>
  </si>
  <si>
    <t>EOD MANAGEMENT RECAP TEMPLATE</t>
  </si>
  <si>
    <t>Please use the following email to send at end of business day</t>
  </si>
  <si>
    <r>
      <t/>
    </r>
    <r>
      <rPr>
        <b/>
        <sz val="9"/>
        <color rgb="FF000000"/>
        <rFont val="Arial"/>
        <family val="2"/>
      </rPr>
      <t xml:space="preserve">To: </t>
    </r>
    <r>
      <rPr>
        <sz val="9"/>
        <color rgb="FF000000"/>
        <rFont val="Arial"/>
        <family val="2"/>
      </rPr>
      <t>All Store Leadership Team Members</t>
    </r>
  </si>
  <si>
    <r>
      <t/>
    </r>
    <r>
      <rPr>
        <b/>
        <sz val="9"/>
        <color rgb="FF000000"/>
        <rFont val="Arial"/>
        <family val="2"/>
      </rPr>
      <t>Cc:</t>
    </r>
    <r>
      <rPr>
        <sz val="9"/>
        <color rgb="FF000000"/>
        <rFont val="Arial"/>
        <family val="2"/>
      </rPr>
      <t xml:space="preserve"> District Manager</t>
    </r>
  </si>
  <si>
    <r>
      <t/>
    </r>
    <r>
      <rPr>
        <b/>
        <sz val="9"/>
        <color rgb="FF000000"/>
        <rFont val="Arial"/>
        <family val="2"/>
      </rPr>
      <t>Subject:</t>
    </r>
    <r>
      <rPr>
        <sz val="9"/>
        <color rgb="FF000000"/>
        <rFont val="Arial"/>
        <family val="2"/>
      </rPr>
      <t xml:space="preserve"> Store # - EOD Recap - {Date}</t>
    </r>
  </si>
  <si>
    <t>Complete below template and copy &amp; paste onto email</t>
  </si>
  <si>
    <t xml:space="preserve">E O D   M A N A G E M E N T   R E C A P </t>
  </si>
  <si>
    <t>Target</t>
  </si>
  <si>
    <t>Actual</t>
  </si>
  <si>
    <t>% to Plan</t>
  </si>
  <si>
    <t>$ to Plan</t>
  </si>
  <si>
    <t>Sales</t>
  </si>
  <si>
    <t>B U S I N E S S   I N S I G H T S</t>
  </si>
  <si>
    <t>Today's Wins</t>
  </si>
  <si>
    <t>Exceed today's target with a 15% conversion! Highest this quarter. Keep up the momentum</t>
  </si>
  <si>
    <t>Stylist, Jack had a $700 transaction today! Please recognize him in tomorrow's chat-in</t>
  </si>
  <si>
    <t>Today's Opportunities</t>
  </si>
  <si>
    <t>Fire alarm impacted business today as employees and consumers had to evacuate</t>
  </si>
  <si>
    <t>On Shelf Availability was at 85%, please prioritize tomorrow and ensure all refill suggestions are completed</t>
  </si>
  <si>
    <t>People</t>
  </si>
  <si>
    <t>Griffin, Roryann and Chloe were trained today on P&amp;P, Personal Conduct, SEAMS, Zoning</t>
  </si>
  <si>
    <t>Sam and Nicole were unable to complete Learning Lab observations. Please prioritize for tomorrow</t>
  </si>
  <si>
    <t>Consumer Experience</t>
  </si>
  <si>
    <t>Evening traffic picked up due to the Drake concert tonight. Consumers looking for last minute outfits</t>
  </si>
  <si>
    <t>We are seeing a strong appetite in the 502 Tapers from our consumer</t>
  </si>
  <si>
    <t>Operations</t>
  </si>
  <si>
    <t>25 boxes were received and processed</t>
  </si>
  <si>
    <t>SFS glitch has been resolved. Resume processing orders tomorrow</t>
  </si>
  <si>
    <t>WEEKLY STYLIST CHECKLIST</t>
  </si>
  <si>
    <t>WEEK OF:</t>
  </si>
  <si>
    <r>
      <t xml:space="preserve">STYLIST OPENING CHECKLIST
</t>
    </r>
    <r>
      <rPr>
        <b/>
        <i/>
        <sz val="8"/>
        <color rgb="FFffffff"/>
        <rFont val="Arial"/>
        <family val="2"/>
      </rPr>
      <t>Stylist to Initial Box</t>
    </r>
  </si>
  <si>
    <t>M</t>
  </si>
  <si>
    <t>T</t>
  </si>
  <si>
    <t>W</t>
  </si>
  <si>
    <t>F</t>
  </si>
  <si>
    <t>S</t>
  </si>
  <si>
    <t>Deep Clean Cashwrap, Registers And Breakroom - Daily</t>
  </si>
  <si>
    <r>
      <t xml:space="preserve">Morning Sanitize High Touch Surfaces 
</t>
    </r>
    <r>
      <rPr>
        <i/>
        <sz val="9"/>
        <color rgb="FF000000"/>
        <rFont val="Arial"/>
        <family val="2"/>
      </rPr>
      <t>Doorknobs, Fitting Room Doors And Rooms, Stockroom Doors, Phone, POS Keyboards</t>
    </r>
  </si>
  <si>
    <r>
      <t xml:space="preserve">Mid Day Sanitize High Touch Surfaces 
</t>
    </r>
    <r>
      <rPr>
        <i/>
        <sz val="9"/>
        <color rgb="FF000000"/>
        <rFont val="Arial"/>
        <family val="2"/>
      </rPr>
      <t>Doorknobs, Fitting Room Doors And Rooms, Stockroom Doors, Phone, POS Keyboards</t>
    </r>
  </si>
  <si>
    <r>
      <t xml:space="preserve">Clean Bathroom
</t>
    </r>
    <r>
      <rPr>
        <i/>
        <sz val="9"/>
        <color rgb="FF000000"/>
        <rFont val="Arial"/>
        <family val="2"/>
      </rPr>
      <t>Replace Toilet Paper, Paper Towels, Wipe Surfaces, Windex Mirrors, Sweep</t>
    </r>
  </si>
  <si>
    <t xml:space="preserve">Mannequins Are Outfitted 100% (Accessories, Shoes, Apparel). </t>
  </si>
  <si>
    <t>Complete Front Door Sensormatic Alarm Check</t>
  </si>
  <si>
    <t>Process Refill Suggestions and 'Move' onto Sales Floor</t>
  </si>
  <si>
    <r>
      <t xml:space="preserve">Deep Clean </t>
    </r>
    <r>
      <rPr>
        <b/>
        <sz val="9"/>
        <color rgb="FF000000"/>
        <rFont val="Arial"/>
        <family val="2"/>
      </rPr>
      <t xml:space="preserve">Sales Floor
</t>
    </r>
    <r>
      <rPr>
        <i/>
        <sz val="9"/>
        <color rgb="FF000000"/>
        <rFont val="Arial"/>
        <family val="2"/>
      </rPr>
      <t xml:space="preserve">Mens, Womens, Cashwrap, Fitting Rooms, Top Shelves </t>
    </r>
  </si>
  <si>
    <r>
      <t xml:space="preserve">Deep Clean </t>
    </r>
    <r>
      <rPr>
        <b/>
        <sz val="9"/>
        <color rgb="FF000000"/>
        <rFont val="Arial"/>
        <family val="2"/>
      </rPr>
      <t>Back of House</t>
    </r>
    <r>
      <rPr>
        <sz val="9"/>
        <color rgb="FF000000"/>
        <rFont val="Arial"/>
        <family val="2"/>
      </rPr>
      <t xml:space="preserve">
</t>
    </r>
    <r>
      <rPr>
        <i/>
        <sz val="9"/>
        <color rgb="FF000000"/>
        <rFont val="Arial"/>
        <family val="2"/>
      </rPr>
      <t>Bathroom(s), Office, Back of House, Break Area</t>
    </r>
  </si>
  <si>
    <t xml:space="preserve">OPENING MANAGER SIGN OFF </t>
  </si>
  <si>
    <r>
      <t xml:space="preserve">STYLIST CLOSING CHECKLIST
</t>
    </r>
    <r>
      <rPr>
        <b/>
        <i/>
        <sz val="8"/>
        <color rgb="FFffffff"/>
        <rFont val="Arial"/>
        <family val="2"/>
      </rPr>
      <t>Stylist to Initial Box</t>
    </r>
  </si>
  <si>
    <r>
      <t/>
    </r>
    <r>
      <rPr>
        <b/>
        <sz val="9"/>
        <color rgb="FF000000"/>
        <rFont val="Arial"/>
        <family val="2"/>
      </rPr>
      <t>Cashwrap:</t>
    </r>
    <r>
      <rPr>
        <sz val="9"/>
        <color rgb="FF000000"/>
        <rFont val="Arial"/>
        <family val="2"/>
      </rPr>
      <t xml:space="preserve">
Clear &amp; Putback Expired Consumer Holds</t>
    </r>
  </si>
  <si>
    <r>
      <t/>
    </r>
    <r>
      <rPr>
        <b/>
        <sz val="9"/>
        <color rgb="FF000000"/>
        <rFont val="Arial"/>
        <family val="2"/>
      </rPr>
      <t>Cashwrap:</t>
    </r>
    <r>
      <rPr>
        <sz val="9"/>
        <color rgb="FF000000"/>
        <rFont val="Arial"/>
        <family val="2"/>
      </rPr>
      <t xml:space="preserve">
Take Hangers From Cashwrap To BOH to Hang or Box Up and Label</t>
    </r>
  </si>
  <si>
    <r>
      <t/>
    </r>
    <r>
      <rPr>
        <b/>
        <sz val="9"/>
        <color rgb="FF000000"/>
        <rFont val="Arial"/>
        <family val="2"/>
      </rPr>
      <t xml:space="preserve">Cashwrap: </t>
    </r>
    <r>
      <rPr>
        <sz val="9"/>
        <color rgb="FF000000"/>
        <rFont val="Arial"/>
        <family val="2"/>
      </rPr>
      <t xml:space="preserve">
Restock All Cashwrap Supplies (Shopping Bags, Receipt Rolls, etc.)</t>
    </r>
  </si>
  <si>
    <r>
      <t/>
    </r>
    <r>
      <rPr>
        <b/>
        <sz val="9"/>
        <color rgb="FF000000"/>
        <rFont val="Arial"/>
        <family val="2"/>
      </rPr>
      <t xml:space="preserve">Cashwrap: </t>
    </r>
    <r>
      <rPr>
        <sz val="9"/>
        <color rgb="FF000000"/>
        <rFont val="Arial"/>
        <family val="2"/>
      </rPr>
      <t xml:space="preserve">
</t>
    </r>
    <r>
      <rPr>
        <i/>
        <sz val="9"/>
        <color rgb="FF000000"/>
        <rFont val="Arial"/>
        <family val="2"/>
      </rPr>
      <t>Damages &amp; Defectives Placed In Correct Bin In BOH</t>
    </r>
  </si>
  <si>
    <r>
      <t/>
    </r>
    <r>
      <rPr>
        <b/>
        <sz val="9"/>
        <color rgb="FF000000"/>
        <rFont val="Arial"/>
        <family val="2"/>
      </rPr>
      <t xml:space="preserve">Cashwrap: </t>
    </r>
    <r>
      <rPr>
        <sz val="9"/>
        <color rgb="FF000000"/>
        <rFont val="Arial"/>
        <family val="2"/>
      </rPr>
      <t xml:space="preserve">
</t>
    </r>
    <r>
      <rPr>
        <i/>
        <sz val="9"/>
        <color rgb="FF000000"/>
        <rFont val="Arial"/>
        <family val="2"/>
      </rPr>
      <t xml:space="preserve">Empty All Hard Tags (Pins + Paddles) To BOH. If Bins Are Full, Place in Box And Label. </t>
    </r>
  </si>
  <si>
    <r>
      <t/>
    </r>
    <r>
      <rPr>
        <b/>
        <sz val="9"/>
        <color rgb="FF000000"/>
        <rFont val="Arial"/>
        <family val="2"/>
      </rPr>
      <t>Back of House:</t>
    </r>
    <r>
      <rPr>
        <sz val="9"/>
        <color rgb="FF000000"/>
        <rFont val="Arial"/>
        <family val="2"/>
      </rPr>
      <t xml:space="preserve">
Clean Breakroom (Trash, Food, Surfaces Wiped, Fridge Cleaned). </t>
    </r>
  </si>
  <si>
    <r>
      <t/>
    </r>
    <r>
      <rPr>
        <b/>
        <sz val="9"/>
        <color rgb="FF000000"/>
        <rFont val="Arial"/>
        <family val="2"/>
      </rPr>
      <t>Back of House:</t>
    </r>
    <r>
      <rPr>
        <sz val="9"/>
        <color rgb="FF000000"/>
        <rFont val="Arial"/>
        <family val="2"/>
      </rPr>
      <t xml:space="preserve">
Clean Off All Desk Tops And Sweep BOH Floor.</t>
    </r>
  </si>
  <si>
    <r>
      <t/>
    </r>
    <r>
      <rPr>
        <b/>
        <sz val="9"/>
        <color rgb="FF000000"/>
        <rFont val="Arial"/>
        <family val="2"/>
      </rPr>
      <t>Entire Store:</t>
    </r>
    <r>
      <rPr>
        <sz val="9"/>
        <color rgb="FF000000"/>
        <rFont val="Arial"/>
        <family val="2"/>
      </rPr>
      <t xml:space="preserve">
Dust Sales Floor, Fitting Rooms, Windex All Mirrors And Windows.</t>
    </r>
  </si>
  <si>
    <r>
      <t/>
    </r>
    <r>
      <rPr>
        <b/>
        <sz val="9"/>
        <color rgb="FF000000"/>
        <rFont val="Arial"/>
        <family val="2"/>
      </rPr>
      <t xml:space="preserve">Entire Store: </t>
    </r>
    <r>
      <rPr>
        <sz val="9"/>
        <color rgb="FF000000"/>
        <rFont val="Arial"/>
        <family val="2"/>
      </rPr>
      <t xml:space="preserve">
All Store Is Recovered, Restandardized + Tags Tucked.</t>
    </r>
  </si>
  <si>
    <r>
      <t/>
    </r>
    <r>
      <rPr>
        <b/>
        <sz val="9"/>
        <color rgb="FF000000"/>
        <rFont val="Arial"/>
        <family val="2"/>
      </rPr>
      <t xml:space="preserve">Entire Store: </t>
    </r>
    <r>
      <rPr>
        <sz val="9"/>
        <color rgb="FF000000"/>
        <rFont val="Arial"/>
        <family val="2"/>
      </rPr>
      <t xml:space="preserve">
Trash Emptied/Lined (Cashwrap, Office, BOH, Restroom) &amp; Garbage Run</t>
    </r>
  </si>
  <si>
    <t xml:space="preserve">CLOSING MANAGER SIGN OFF </t>
  </si>
  <si>
    <t>WEEKLY MANAGEMENT CHECKLIST</t>
  </si>
  <si>
    <t>DAILY OPENING TASKS
Manager to Initial Box</t>
  </si>
  <si>
    <t>Sabrinna</t>
  </si>
  <si>
    <t>Judy</t>
  </si>
  <si>
    <t>Brandy</t>
  </si>
  <si>
    <t>Read Past Day Closing Mgmt Email + Review MBX Outlook Emails</t>
  </si>
  <si>
    <t>Check Yoobic Tasks + Mark As "In Progress" Or "Complete"</t>
  </si>
  <si>
    <t>Review And Resolve Timecard Exceptions In Kronos</t>
  </si>
  <si>
    <t>Print + Post Comp Tree / Tableau Dashboard</t>
  </si>
  <si>
    <t>Update Workbook 2.0 On Previous Day Results</t>
  </si>
  <si>
    <t>Update CEL Tracker In Workbook 2.0 + Write Chat-In Topics</t>
  </si>
  <si>
    <t xml:space="preserve">Count Safe Using Safe Count + Complete Safe Over/Short Log </t>
  </si>
  <si>
    <t>Open Store In Xstore &amp; Open Registers</t>
  </si>
  <si>
    <t xml:space="preserve">Complete Daily RFID Stocktake </t>
  </si>
  <si>
    <t xml:space="preserve">Validate All Promo/Marketing Sigange Is Correct </t>
  </si>
  <si>
    <t xml:space="preserve">Chat In Opening Team </t>
  </si>
  <si>
    <t>DUST and WINDEX WINDOWNS AND MIRRORS</t>
  </si>
  <si>
    <t>Fill Accessories</t>
  </si>
  <si>
    <t>Manager Sign Off On Stylist Opening Checklist</t>
  </si>
  <si>
    <t>DAILY MORNING/MID-DAY TASKS
Manager to Initial Box</t>
  </si>
  <si>
    <t>Complete Daily Damages &amp; Defectives</t>
  </si>
  <si>
    <t>Complete Reticketing (As Needed)</t>
  </si>
  <si>
    <t xml:space="preserve">SFS: Process SFS Orders </t>
  </si>
  <si>
    <t>Ensure Store Team Are Pulling Refill Suggestions &amp; 'Move' To Sales Floor</t>
  </si>
  <si>
    <t>DAILY CLOSING TASKS
Manager to Initial Box</t>
  </si>
  <si>
    <r>
      <t xml:space="preserve">Ensure All iPods, iPads, RFID Scanners, Walkies Are Charged
</t>
    </r>
    <r>
      <rPr>
        <i/>
        <sz val="9"/>
        <color rgb="FF000000"/>
        <rFont val="Arial"/>
        <family val="2"/>
      </rPr>
      <t>Verify on Device Sign Out Log</t>
    </r>
  </si>
  <si>
    <t>Complete Store Deposit + Secure Fund Bag In Safe</t>
  </si>
  <si>
    <t>Close Store In Xstore &amp; Close Registers</t>
  </si>
  <si>
    <t>Complete Daily Deposit Log + PM Register Over/Short Log</t>
  </si>
  <si>
    <t xml:space="preserve">File Media Envelopes In Iron Mountain Boxes </t>
  </si>
  <si>
    <t>Send End of Day Management Email</t>
  </si>
  <si>
    <t>Manager Sign Off On Stylist Closing Checklist</t>
  </si>
  <si>
    <t>Store Walkthrough to Ensure Cleanliness</t>
  </si>
  <si>
    <t>DAILY SPECIFIC TASKS</t>
  </si>
  <si>
    <t>WORKFORCE MANAGEMENT</t>
  </si>
  <si>
    <t>Prepare, Review &amp; Post Schedule On Kronos 3-Weeks In Advance</t>
  </si>
  <si>
    <t>Process Payroll / Approve LW Timecards By 10:00AM Local Time</t>
  </si>
  <si>
    <t>Review And Action Time Off Requests In Kronos</t>
  </si>
  <si>
    <t>Assign Attendance Points / Review Corrective Action</t>
  </si>
  <si>
    <t>INVENTORY MANAGEMENT</t>
  </si>
  <si>
    <t>Approve/Ignore Differences On Nedap</t>
  </si>
  <si>
    <t xml:space="preserve">Complete Any Inventory Adjustments As Necessary </t>
  </si>
  <si>
    <t>Aged In-Transit Clean Up - Cartons Greater Than 4-Weeks Old</t>
  </si>
  <si>
    <t>POS &amp; XSTORE</t>
  </si>
  <si>
    <t>Complete Change Order Before 10:00AM Local Time (As Needed)</t>
  </si>
  <si>
    <t>SUPPLIES</t>
  </si>
  <si>
    <t>Complete Staples Order Audit Checklist (Every Week)</t>
  </si>
  <si>
    <t>Order Staples Supplies (As Needed)</t>
  </si>
  <si>
    <t>REPORTING &amp; ANALYTICS</t>
  </si>
  <si>
    <t xml:space="preserve">Review Retail Insights Top 20 </t>
  </si>
  <si>
    <t>Inventory Dashboard - Review Product In-Transit</t>
  </si>
  <si>
    <t>CONSUMER READY ENVIRONMENT</t>
  </si>
  <si>
    <t>Update Store Bulletin Boards</t>
  </si>
  <si>
    <t>Print  + Post New Mgmt + Stylist Checklists</t>
  </si>
  <si>
    <t>Walkthrough of Windows &amp; Mannequins - Ensure Up To Standard</t>
  </si>
  <si>
    <t>HEALTH &amp; SAFETY</t>
  </si>
  <si>
    <t>Check &amp; Replace Lightbulbs On Sales Floor, Fitting Rooms + BOH</t>
  </si>
  <si>
    <t>Secure All Shelf Talkers With Vecro After Weekly Promo Update</t>
  </si>
  <si>
    <t xml:space="preserve">Perform Fire &amp; Safety Inspection - All Egress Pathways Must Be Clear </t>
  </si>
  <si>
    <t>Perform AODA Compliance Check On Salesfloor (ON Stores Only)</t>
  </si>
  <si>
    <t>MONTHLY MANAGEMENT CHECKLIST</t>
  </si>
  <si>
    <t>Due on the first Friday of every month</t>
  </si>
  <si>
    <t>RETAIL ASSET PROTECTION CHECKLIST</t>
  </si>
  <si>
    <t>TEST EMERGENCY EXIT DOOR ALARM - WORKING?</t>
  </si>
  <si>
    <t>DATE COMPLETED: ________  //  Manager Signoff:_______________</t>
  </si>
  <si>
    <t>COMPLETE MONTHLY SURVEY ON VERIFONE/ALARM (1ST WEEK/MO)</t>
  </si>
  <si>
    <t>SIGN ALARM TESTING LOG 5-125 AFTER COMPLETE ABOVE TASK</t>
  </si>
  <si>
    <t>HEALTH &amp; SAFETY CHECKLIST</t>
  </si>
  <si>
    <t>AUDIT FIRST AID KITS - FULL STOCKED?</t>
  </si>
  <si>
    <t>COMPLETE MONTHLY INSPECTION CHECKLIST</t>
  </si>
  <si>
    <t>AFTER MONTHLY RIG IS SET REVIEW SALESFLOOR FOR AODA COMPLIANCE (ON STORES ONLY)</t>
  </si>
  <si>
    <t>SELF-STORE AUDIT</t>
  </si>
  <si>
    <t>UPDATE EMERGENCY CONTACT ROSTER + STYLIST PHONE LISTING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</si>
</sst>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%"/>
    <numFmt numFmtId="165" formatCode="$#,##0_);($#,##0)"/>
    <numFmt numFmtId="166" formatCode="yyyy-mm-dd"/>
  </numFmts>
  <fonts count="4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2"/>
      <color rgb="FF000000"/>
      <name val="Arial"/>
      <family val="2"/>
    </font>
    <font>
      <sz val="18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ffffff"/>
      <name val="Arial"/>
      <family val="2"/>
    </font>
    <font>
      <sz val="14"/>
      <color theme="1"/>
      <name val="Arial"/>
      <family val="2"/>
    </font>
    <font>
      <b/>
      <sz val="18"/>
      <color rgb="FF00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4"/>
      <color rgb="FF000000"/>
      <name val="Arial"/>
      <family val="2"/>
    </font>
    <font>
      <b/>
      <sz val="20"/>
      <color rgb="FF000000"/>
      <name val="Calibri Light"/>
      <family val="2"/>
    </font>
    <font>
      <sz val="20"/>
      <color rgb="FF000000"/>
      <name val="Calibri Light"/>
      <family val="2"/>
    </font>
    <font>
      <b/>
      <sz val="14"/>
      <color rgb="FFc00000"/>
      <name val="Arial"/>
      <family val="2"/>
    </font>
    <font>
      <b/>
      <sz val="14"/>
      <color theme="1"/>
      <name val="Arial"/>
      <family val="2"/>
    </font>
    <font>
      <sz val="9"/>
      <color rgb="FF000000"/>
      <name val="Calibri"/>
      <family val="2"/>
    </font>
    <font>
      <b/>
      <sz val="18"/>
      <color rgb="FFc00000"/>
      <name val="Arial"/>
      <family val="2"/>
    </font>
    <font>
      <b/>
      <sz val="14"/>
      <color rgb="FFff0000"/>
      <name val="Calibri Light"/>
      <family val="2"/>
    </font>
    <font>
      <b/>
      <sz val="16"/>
      <color rgb="FF333333"/>
      <name val="Arial"/>
      <family val="2"/>
    </font>
    <font>
      <b/>
      <sz val="16"/>
      <color rgb="FF000000"/>
      <name val="Arial"/>
      <family val="2"/>
    </font>
    <font>
      <b/>
      <sz val="16"/>
      <color rgb="FFc00000"/>
      <name val="Arial"/>
      <family val="2"/>
    </font>
    <font>
      <b/>
      <sz val="14"/>
      <color rgb="FFff0000"/>
      <name val="Arial"/>
      <family val="2"/>
    </font>
    <font>
      <sz val="20"/>
      <color rgb="FF000000"/>
      <name val="Arial"/>
      <family val="2"/>
    </font>
    <font>
      <b/>
      <sz val="12"/>
      <color rgb="FFc00000"/>
      <name val="Arial"/>
      <family val="2"/>
    </font>
    <font>
      <b/>
      <sz val="16"/>
      <color rgb="FFc00000"/>
      <name val="Calibri Light"/>
      <family val="2"/>
    </font>
    <font>
      <b/>
      <sz val="22"/>
      <color rgb="FFc00000"/>
      <name val="Calibri Light"/>
      <family val="2"/>
    </font>
    <font>
      <b/>
      <sz val="12"/>
      <color rgb="FFc00000"/>
      <name val="Calibri Light"/>
      <family val="2"/>
    </font>
    <font>
      <b/>
      <sz val="16"/>
      <color rgb="FF595959"/>
      <name val="Arial"/>
      <family val="2"/>
    </font>
    <font>
      <b/>
      <sz val="20"/>
      <color rgb="FF595959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u/>
      <sz val="9"/>
      <color rgb="FF000000"/>
      <name val="Arial"/>
      <family val="2"/>
    </font>
    <font>
      <sz val="8"/>
      <color rgb="FF000000"/>
      <name val="Arial"/>
      <family val="2"/>
    </font>
    <font>
      <b/>
      <sz val="20"/>
      <color rgb="FFffffff"/>
      <name val="Arial"/>
      <family val="2"/>
    </font>
    <font>
      <b/>
      <i/>
      <sz val="8"/>
      <color rgb="FFfffff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6dce5"/>
      </patternFill>
    </fill>
    <fill>
      <patternFill patternType="solid">
        <fgColor rgb="FFe7e6e6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46b097"/>
      </patternFill>
    </fill>
    <fill>
      <patternFill patternType="solid">
        <fgColor rgb="FFe0559f"/>
      </patternFill>
    </fill>
    <fill>
      <patternFill patternType="solid">
        <fgColor rgb="FFbd4b5b"/>
      </patternFill>
    </fill>
    <fill>
      <patternFill patternType="solid">
        <fgColor rgb="FFed7d31"/>
      </patternFill>
    </fill>
    <fill>
      <patternFill patternType="solid">
        <fgColor rgb="FFcc99ff"/>
      </patternFill>
    </fill>
    <fill>
      <patternFill patternType="solid">
        <fgColor rgb="FF4472c4"/>
      </patternFill>
    </fill>
    <fill>
      <patternFill patternType="solid">
        <fgColor rgb="FFfbe5d6"/>
      </patternFill>
    </fill>
    <fill>
      <patternFill patternType="solid">
        <fgColor rgb="FFfff2cc"/>
      </patternFill>
    </fill>
    <fill>
      <patternFill patternType="solid">
        <fgColor rgb="FFdae3f3"/>
      </patternFill>
    </fill>
    <fill>
      <patternFill patternType="solid">
        <fgColor rgb="FFbfbfbf"/>
      </patternFill>
    </fill>
    <fill>
      <patternFill patternType="solid">
        <fgColor rgb="FF8faadc"/>
      </patternFill>
    </fill>
    <fill>
      <patternFill patternType="solid">
        <fgColor rgb="FF2f5597"/>
      </patternFill>
    </fill>
    <fill>
      <patternFill patternType="solid">
        <fgColor rgb="FF704f8c"/>
      </patternFill>
    </fill>
    <fill>
      <patternFill patternType="solid">
        <fgColor rgb="FFf4b183"/>
      </patternFill>
    </fill>
    <fill>
      <patternFill patternType="solid">
        <fgColor rgb="FFff99ff"/>
      </patternFill>
    </fill>
    <fill>
      <patternFill patternType="solid">
        <fgColor rgb="FF92d050"/>
      </patternFill>
    </fill>
    <fill>
      <patternFill patternType="solid">
        <fgColor rgb="FFd3a9df"/>
      </patternFill>
    </fill>
    <fill>
      <patternFill patternType="solid">
        <fgColor rgb="FF8497b0"/>
      </patternFill>
    </fill>
    <fill>
      <patternFill patternType="solid">
        <fgColor rgb="FF595959"/>
      </patternFill>
    </fill>
    <fill>
      <patternFill patternType="solid">
        <fgColor rgb="FF808080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89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2" applyBorder="1" fontId="3" applyFont="1" fillId="2" applyFill="1" applyAlignment="1">
      <alignment horizontal="center"/>
    </xf>
    <xf xfId="0" numFmtId="164" applyNumberFormat="1" borderId="3" applyBorder="1" fontId="3" applyFont="1" fillId="2" applyFill="1" applyAlignment="1">
      <alignment horizontal="center"/>
    </xf>
    <xf xfId="0" numFmtId="0" borderId="4" applyBorder="1" fontId="3" applyFont="1" fillId="2" applyFill="1" applyAlignment="1">
      <alignment horizontal="left"/>
    </xf>
    <xf xfId="0" numFmtId="0" borderId="5" applyBorder="1" fontId="3" applyFont="1" fillId="2" applyFill="1" applyAlignment="1">
      <alignment horizontal="left" wrapText="1"/>
    </xf>
    <xf xfId="0" numFmtId="165" applyNumberFormat="1" borderId="5" applyBorder="1" fontId="3" applyFont="1" fillId="2" applyFill="1" applyAlignment="1">
      <alignment horizontal="left"/>
    </xf>
    <xf xfId="0" numFmtId="0" borderId="5" applyBorder="1" fontId="3" applyFont="1" fillId="2" applyFill="1" applyAlignment="1">
      <alignment horizontal="left"/>
    </xf>
    <xf xfId="0" numFmtId="164" applyNumberFormat="1" borderId="5" applyBorder="1" fontId="3" applyFont="1" fillId="2" applyFill="1" applyAlignment="1">
      <alignment horizontal="left"/>
    </xf>
    <xf xfId="0" numFmtId="0" borderId="6" applyBorder="1" fontId="3" applyFont="1" fillId="2" applyFill="1" applyAlignment="1">
      <alignment horizontal="left"/>
    </xf>
    <xf xfId="0" numFmtId="4" applyNumberFormat="1" borderId="0" fontId="0" fillId="0" applyAlignment="1">
      <alignment horizontal="center"/>
    </xf>
    <xf xfId="0" numFmtId="0" borderId="7" applyBorder="1" fontId="4" applyFont="1" fillId="3" applyFill="1" applyAlignment="1">
      <alignment horizontal="right"/>
    </xf>
    <xf xfId="0" numFmtId="164" applyNumberFormat="1" borderId="8" applyBorder="1" fontId="5" applyFont="1" fillId="0" applyAlignment="1">
      <alignment horizontal="center" wrapText="1"/>
    </xf>
    <xf xfId="0" numFmtId="0" borderId="1" applyBorder="1" fontId="4" applyFont="1" fillId="0" applyAlignment="1">
      <alignment horizontal="center" vertical="top"/>
    </xf>
    <xf xfId="0" numFmtId="0" borderId="4" applyBorder="1" fontId="6" applyFont="1" fillId="4" applyFill="1" applyAlignment="1">
      <alignment horizontal="right" wrapText="1"/>
    </xf>
    <xf xfId="0" numFmtId="3" applyNumberFormat="1" borderId="9" applyBorder="1" fontId="6" applyFont="1" fillId="4" applyFill="1" applyAlignment="1">
      <alignment horizontal="right" wrapText="1"/>
    </xf>
    <xf xfId="0" numFmtId="165" applyNumberFormat="1" borderId="10" applyBorder="1" fontId="6" applyFont="1" fillId="4" applyFill="1" applyAlignment="1">
      <alignment horizontal="center"/>
    </xf>
    <xf xfId="0" numFmtId="0" borderId="10" applyBorder="1" fontId="6" applyFont="1" fillId="4" applyFill="1" applyAlignment="1">
      <alignment horizontal="center"/>
    </xf>
    <xf xfId="0" numFmtId="164" applyNumberFormat="1" borderId="11" applyBorder="1" fontId="7" applyFont="1" fillId="5" applyFill="1" applyAlignment="1">
      <alignment horizontal="center"/>
    </xf>
    <xf xfId="0" numFmtId="4" applyNumberFormat="1" borderId="1" applyBorder="1" fontId="8" applyFont="1" fillId="0" applyAlignment="1">
      <alignment horizontal="right"/>
    </xf>
    <xf xfId="0" numFmtId="4" applyNumberFormat="1" borderId="1" applyBorder="1" fontId="8" applyFont="1" fillId="0" applyAlignment="1">
      <alignment horizontal="left"/>
    </xf>
    <xf xfId="0" numFmtId="0" borderId="12" applyBorder="1" fontId="4" applyFont="1" fillId="3" applyFill="1" applyAlignment="1">
      <alignment horizontal="right"/>
    </xf>
    <xf xfId="0" numFmtId="165" applyNumberFormat="1" borderId="13" applyBorder="1" fontId="5" applyFont="1" fillId="0" applyAlignment="1">
      <alignment horizontal="center"/>
    </xf>
    <xf xfId="0" numFmtId="166" applyNumberFormat="1" borderId="1" applyBorder="1" fontId="8" applyFont="1" fillId="0" applyAlignment="1">
      <alignment horizontal="left" wrapText="1"/>
    </xf>
    <xf xfId="0" numFmtId="0" borderId="1" applyBorder="1" fontId="4" applyFont="1" fillId="0" applyAlignment="1">
      <alignment horizontal="center"/>
    </xf>
    <xf xfId="0" numFmtId="0" borderId="1" applyBorder="1" fontId="8" applyFont="1" fillId="0" applyAlignment="1">
      <alignment horizontal="left"/>
    </xf>
    <xf xfId="0" numFmtId="0" borderId="14" applyBorder="1" fontId="6" applyFont="1" fillId="6" applyFill="1" applyAlignment="1">
      <alignment horizontal="right" wrapText="1"/>
    </xf>
    <xf xfId="0" numFmtId="3" applyNumberFormat="1" borderId="15" applyBorder="1" fontId="6" applyFont="1" fillId="6" applyFill="1" applyAlignment="1">
      <alignment horizontal="right" wrapText="1"/>
    </xf>
    <xf xfId="0" numFmtId="164" applyNumberFormat="1" borderId="16" applyBorder="1" fontId="9" applyFont="1" fillId="6" applyFill="1" applyAlignment="1">
      <alignment horizontal="center"/>
    </xf>
    <xf xfId="0" numFmtId="164" applyNumberFormat="1" borderId="13" applyBorder="1" fontId="6" applyFont="1" fillId="4" applyFill="1" applyAlignment="1">
      <alignment horizontal="center" wrapText="1"/>
    </xf>
    <xf xfId="0" numFmtId="0" borderId="14" applyBorder="1" fontId="4" applyFont="1" fillId="6" applyFill="1" applyAlignment="1">
      <alignment horizontal="right" wrapText="1"/>
    </xf>
    <xf xfId="0" numFmtId="0" borderId="15" applyBorder="1" fontId="4" applyFont="1" fillId="6" applyFill="1" applyAlignment="1">
      <alignment horizontal="right" wrapText="1"/>
    </xf>
    <xf xfId="0" numFmtId="165" applyNumberFormat="1" borderId="16" applyBorder="1" fontId="9" applyFont="1" fillId="6" applyFill="1" applyAlignment="1">
      <alignment horizontal="center"/>
    </xf>
    <xf xfId="0" numFmtId="164" applyNumberFormat="1" borderId="13" applyBorder="1" fontId="8" applyFont="1" fillId="7" applyFill="1" applyAlignment="1">
      <alignment horizontal="center"/>
    </xf>
    <xf xfId="0" numFmtId="4" applyNumberFormat="1" borderId="1" applyBorder="1" fontId="10" applyFont="1" fillId="0" applyAlignment="1">
      <alignment horizontal="right"/>
    </xf>
    <xf xfId="0" numFmtId="0" borderId="1" applyBorder="1" fontId="10" applyFont="1" fillId="0" applyAlignment="1">
      <alignment horizontal="center"/>
    </xf>
    <xf xfId="0" numFmtId="1" applyNumberFormat="1" borderId="13" applyBorder="1" fontId="5" applyFont="1" fillId="0" applyAlignment="1">
      <alignment horizontal="center"/>
    </xf>
    <xf xfId="0" numFmtId="0" borderId="14" applyBorder="1" fontId="6" applyFont="1" fillId="3" applyFill="1" applyAlignment="1">
      <alignment horizontal="right" wrapText="1"/>
    </xf>
    <xf xfId="0" numFmtId="0" borderId="15" applyBorder="1" fontId="6" applyFont="1" fillId="3" applyFill="1" applyAlignment="1">
      <alignment horizontal="right" wrapText="1"/>
    </xf>
    <xf xfId="0" numFmtId="165" applyNumberFormat="1" borderId="16" applyBorder="1" fontId="11" applyFont="1" fillId="7" applyFill="1" applyAlignment="1">
      <alignment horizontal="center"/>
    </xf>
    <xf xfId="0" numFmtId="164" applyNumberFormat="1" borderId="13" applyBorder="1" fontId="5" applyFont="1" fillId="0" applyAlignment="1">
      <alignment horizontal="center"/>
    </xf>
    <xf xfId="0" numFmtId="0" borderId="14" applyBorder="1" fontId="4" applyFont="1" fillId="3" applyFill="1" applyAlignment="1">
      <alignment horizontal="right" wrapText="1"/>
    </xf>
    <xf xfId="0" numFmtId="0" borderId="15" applyBorder="1" fontId="4" applyFont="1" fillId="3" applyFill="1" applyAlignment="1">
      <alignment horizontal="right" wrapText="1"/>
    </xf>
    <xf xfId="0" numFmtId="1" applyNumberFormat="1" borderId="16" applyBorder="1" fontId="9" applyFont="1" fillId="7" applyFill="1" applyAlignment="1">
      <alignment horizontal="center"/>
    </xf>
    <xf xfId="0" numFmtId="1" applyNumberFormat="1" borderId="13" applyBorder="1" fontId="12" applyFont="1" fillId="6" applyFill="1" applyAlignment="1">
      <alignment horizontal="center"/>
    </xf>
    <xf xfId="0" numFmtId="3" applyNumberFormat="1" borderId="15" applyBorder="1" fontId="6" applyFont="1" fillId="3" applyFill="1" applyAlignment="1">
      <alignment horizontal="right" wrapText="1"/>
    </xf>
    <xf xfId="0" numFmtId="1" applyNumberFormat="1" borderId="16" applyBorder="1" fontId="11" applyFont="1" fillId="7" applyFill="1" applyAlignment="1">
      <alignment horizontal="center"/>
    </xf>
    <xf xfId="0" numFmtId="164" applyNumberFormat="1" borderId="16" applyBorder="1" fontId="11" applyFont="1" fillId="7" applyFill="1" applyAlignment="1">
      <alignment horizontal="center"/>
    </xf>
    <xf xfId="0" numFmtId="4" applyNumberFormat="1" borderId="16" applyBorder="1" fontId="11" applyFont="1" fillId="7" applyFill="1" applyAlignment="1">
      <alignment horizontal="center"/>
    </xf>
    <xf xfId="0" numFmtId="164" applyNumberFormat="1" borderId="13" applyBorder="1" fontId="8" applyFont="1" fillId="7" applyFill="1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4" applyNumberFormat="1" borderId="13" applyBorder="1" fontId="5" applyFont="1" fillId="0" applyAlignment="1">
      <alignment horizontal="center"/>
    </xf>
    <xf xfId="0" numFmtId="0" borderId="17" applyBorder="1" fontId="4" applyFont="1" fillId="3" applyFill="1" applyAlignment="1">
      <alignment horizontal="right"/>
    </xf>
    <xf xfId="0" numFmtId="165" applyNumberFormat="1" borderId="18" applyBorder="1" fontId="5" applyFont="1" fillId="0" applyAlignment="1">
      <alignment horizontal="center"/>
    </xf>
    <xf xfId="0" numFmtId="164" applyNumberFormat="1" borderId="15" applyBorder="1" fontId="6" applyFont="1" fillId="3" applyFill="1" applyAlignment="1">
      <alignment horizontal="right" wrapText="1"/>
    </xf>
    <xf xfId="0" numFmtId="0" borderId="16" applyBorder="1" fontId="11" applyFont="1" fillId="7" applyFill="1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0" borderId="19" applyBorder="1" fontId="3" applyFont="1" fillId="2" applyFill="1" applyAlignment="1">
      <alignment horizontal="center"/>
    </xf>
    <xf xfId="0" numFmtId="164" applyNumberFormat="1" borderId="20" applyBorder="1" fontId="3" applyFont="1" fillId="2" applyFill="1" applyAlignment="1">
      <alignment horizontal="center"/>
    </xf>
    <xf xfId="0" numFmtId="0" borderId="21" applyBorder="1" fontId="6" applyFont="1" fillId="3" applyFill="1" applyAlignment="1">
      <alignment horizontal="right" wrapText="1"/>
    </xf>
    <xf xfId="0" numFmtId="164" applyNumberFormat="1" borderId="22" applyBorder="1" fontId="6" applyFont="1" fillId="3" applyFill="1" applyAlignment="1">
      <alignment horizontal="right" wrapText="1"/>
    </xf>
    <xf xfId="0" numFmtId="165" applyNumberFormat="1" borderId="23" applyBorder="1" fontId="11" applyFont="1" fillId="4" applyFill="1" applyAlignment="1">
      <alignment horizontal="center"/>
    </xf>
    <xf xfId="0" numFmtId="164" applyNumberFormat="1" borderId="24" applyBorder="1" fontId="8" applyFont="1" fillId="7" applyFill="1" applyAlignment="1">
      <alignment horizontal="left"/>
    </xf>
    <xf xfId="0" numFmtId="4" applyNumberFormat="1" borderId="1" applyBorder="1" fontId="13" applyFont="1" fillId="0" applyAlignment="1">
      <alignment horizontal="center"/>
    </xf>
    <xf xfId="0" numFmtId="165" applyNumberFormat="1" borderId="8" applyBorder="1" fontId="14" applyFont="1" fillId="0" applyAlignment="1">
      <alignment horizontal="center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13" applyBorder="1" fontId="14" applyFont="1" fillId="0" applyAlignment="1">
      <alignment horizontal="center"/>
    </xf>
    <xf xfId="0" numFmtId="0" borderId="19" applyBorder="1" fontId="3" applyFont="1" fillId="2" applyFill="1" applyAlignment="1">
      <alignment horizontal="left"/>
    </xf>
    <xf xfId="0" numFmtId="0" borderId="25" applyBorder="1" fontId="3" applyFont="1" fillId="2" applyFill="1" applyAlignment="1">
      <alignment horizontal="left" wrapText="1"/>
    </xf>
    <xf xfId="0" numFmtId="165" applyNumberFormat="1" borderId="25" applyBorder="1" fontId="3" applyFont="1" fillId="2" applyFill="1" applyAlignment="1">
      <alignment horizontal="left"/>
    </xf>
    <xf xfId="0" numFmtId="0" borderId="25" applyBorder="1" fontId="3" applyFont="1" fillId="2" applyFill="1" applyAlignment="1">
      <alignment horizontal="left"/>
    </xf>
    <xf xfId="0" numFmtId="164" applyNumberFormat="1" borderId="25" applyBorder="1" fontId="3" applyFont="1" fillId="2" applyFill="1" applyAlignment="1">
      <alignment horizontal="left"/>
    </xf>
    <xf xfId="0" numFmtId="0" borderId="20" applyBorder="1" fontId="3" applyFont="1" fillId="2" applyFill="1" applyAlignment="1">
      <alignment horizontal="left"/>
    </xf>
    <xf xfId="0" numFmtId="0" borderId="26" applyBorder="1" fontId="4" applyFont="1" fillId="0" applyAlignment="1">
      <alignment horizontal="center"/>
    </xf>
    <xf xfId="0" numFmtId="0" borderId="27" applyBorder="1" fontId="6" applyFont="1" fillId="4" applyFill="1" applyAlignment="1">
      <alignment horizontal="center"/>
    </xf>
    <xf xfId="0" numFmtId="0" borderId="28" applyBorder="1" fontId="6" applyFont="1" fillId="4" applyFill="1" applyAlignment="1">
      <alignment horizontal="center" wrapText="1"/>
    </xf>
    <xf xfId="0" numFmtId="165" applyNumberFormat="1" borderId="28" applyBorder="1" fontId="6" applyFont="1" fillId="4" applyFill="1" applyAlignment="1">
      <alignment horizontal="center"/>
    </xf>
    <xf xfId="0" numFmtId="0" borderId="28" applyBorder="1" fontId="6" applyFont="1" fillId="4" applyFill="1" applyAlignment="1">
      <alignment horizontal="center"/>
    </xf>
    <xf xfId="0" numFmtId="164" applyNumberFormat="1" borderId="28" applyBorder="1" fontId="6" applyFont="1" fillId="4" applyFill="1" applyAlignment="1">
      <alignment horizontal="center"/>
    </xf>
    <xf xfId="0" numFmtId="0" borderId="29" applyBorder="1" fontId="6" applyFont="1" fillId="4" applyFill="1" applyAlignment="1">
      <alignment horizontal="center"/>
    </xf>
    <xf xfId="0" numFmtId="165" applyNumberFormat="1" borderId="13" applyBorder="1" fontId="15" applyFont="1" fillId="7" applyFill="1" applyAlignment="1">
      <alignment horizontal="center"/>
    </xf>
    <xf xfId="0" numFmtId="0" borderId="16" applyBorder="1" fontId="4" applyFont="1" fillId="0" applyAlignment="1">
      <alignment horizontal="center"/>
    </xf>
    <xf xfId="0" numFmtId="0" borderId="16" applyBorder="1" fontId="4" applyFont="1" fillId="0" applyAlignment="1">
      <alignment horizontal="left"/>
    </xf>
    <xf xfId="0" numFmtId="0" borderId="30" applyBorder="1" fontId="4" applyFont="1" fillId="0" applyAlignment="1">
      <alignment horizontal="center"/>
    </xf>
    <xf xfId="0" numFmtId="0" borderId="31" applyBorder="1" fontId="9" applyFont="1" fillId="0" applyAlignment="1">
      <alignment horizontal="center" wrapText="1"/>
    </xf>
    <xf xfId="0" numFmtId="0" borderId="32" applyBorder="1" fontId="9" applyFont="1" fillId="0" applyAlignment="1">
      <alignment horizontal="center" wrapText="1"/>
    </xf>
    <xf xfId="0" numFmtId="165" applyNumberFormat="1" borderId="16" applyBorder="1" fontId="9" applyFont="1" fillId="7" applyFill="1" applyAlignment="1">
      <alignment horizontal="center"/>
    </xf>
    <xf xfId="0" numFmtId="165" applyNumberFormat="1" borderId="16" applyBorder="1" fontId="9" applyFont="1" fillId="8" applyFill="1" applyAlignment="1">
      <alignment horizontal="center"/>
    </xf>
    <xf xfId="0" numFmtId="165" applyNumberFormat="1" borderId="16" applyBorder="1" fontId="9" applyFont="1" fillId="0" applyAlignment="1">
      <alignment horizontal="center"/>
    </xf>
    <xf xfId="0" numFmtId="0" borderId="16" applyBorder="1" fontId="9" applyFont="1" fillId="7" applyFill="1" applyAlignment="1">
      <alignment horizontal="center"/>
    </xf>
    <xf xfId="0" numFmtId="164" applyNumberFormat="1" borderId="16" applyBorder="1" fontId="9" applyFont="1" fillId="9" applyFill="1" applyAlignment="1">
      <alignment horizontal="center"/>
    </xf>
    <xf xfId="0" numFmtId="165" applyNumberFormat="1" borderId="13" applyBorder="1" fontId="4" applyFont="1" fillId="7" applyFill="1" applyAlignment="1">
      <alignment horizontal="center"/>
    </xf>
    <xf xfId="0" numFmtId="4" applyNumberFormat="1" borderId="32" applyBorder="1" fontId="4" applyFont="1" fillId="0" applyAlignment="1">
      <alignment horizontal="center"/>
    </xf>
    <xf xfId="0" numFmtId="165" applyNumberFormat="1" borderId="16" applyBorder="1" fontId="9" applyFont="1" fillId="10" applyFill="1" applyAlignment="1">
      <alignment horizontal="center"/>
    </xf>
    <xf xfId="0" numFmtId="165" applyNumberFormat="1" borderId="16" applyBorder="1" fontId="9" applyFont="1" fillId="11" applyFill="1" applyAlignment="1">
      <alignment horizontal="center"/>
    </xf>
    <xf xfId="0" numFmtId="164" applyNumberFormat="1" borderId="16" applyBorder="1" fontId="9" applyFont="1" fillId="7" applyFill="1" applyAlignment="1">
      <alignment horizontal="center"/>
    </xf>
    <xf xfId="0" numFmtId="0" borderId="33" applyBorder="1" fontId="4" applyFont="1" fillId="0" applyAlignment="1">
      <alignment horizontal="right"/>
    </xf>
    <xf xfId="0" numFmtId="164" applyNumberFormat="1" borderId="34" applyBorder="1" fontId="11" applyFont="1" fillId="0" applyAlignment="1">
      <alignment horizontal="center"/>
    </xf>
    <xf xfId="0" numFmtId="0" borderId="16" applyBorder="1" fontId="8" applyFont="1" fillId="7" applyFill="1" applyAlignment="1">
      <alignment horizontal="center"/>
    </xf>
    <xf xfId="0" numFmtId="0" borderId="35" applyBorder="1" fontId="8" applyFont="1" fillId="7" applyFill="1" applyAlignment="1">
      <alignment horizontal="center"/>
    </xf>
    <xf xfId="0" numFmtId="0" borderId="12" applyBorder="1" fontId="9" applyFont="1" fillId="0" applyAlignment="1">
      <alignment horizontal="center" wrapText="1"/>
    </xf>
    <xf xfId="0" numFmtId="0" borderId="16" applyBorder="1" fontId="9" applyFont="1" fillId="0" applyAlignment="1">
      <alignment horizontal="center" wrapText="1"/>
    </xf>
    <xf xfId="0" numFmtId="0" borderId="33" applyBorder="1" fontId="8" applyFont="1" fillId="0" applyAlignment="1">
      <alignment horizontal="left"/>
    </xf>
    <xf xfId="0" numFmtId="164" applyNumberFormat="1" borderId="36" applyBorder="1" fontId="16" applyFont="1" fillId="0" applyAlignment="1">
      <alignment horizontal="center"/>
    </xf>
    <xf xfId="0" numFmtId="0" borderId="16" applyBorder="1" fontId="9" applyFont="1" fillId="11" applyFill="1" applyAlignment="1">
      <alignment horizontal="center"/>
    </xf>
    <xf xfId="0" numFmtId="164" applyNumberFormat="1" borderId="1" applyBorder="1" fontId="16" applyFont="1" fillId="0" applyAlignment="1">
      <alignment horizontal="center"/>
    </xf>
    <xf xfId="0" numFmtId="165" applyNumberFormat="1" borderId="16" applyBorder="1" fontId="9" applyFont="1" fillId="12" applyFill="1" applyAlignment="1">
      <alignment horizontal="center"/>
    </xf>
    <xf xfId="0" numFmtId="0" borderId="33" applyBorder="1" fontId="17" applyFont="1" fillId="0" applyAlignment="1">
      <alignment horizontal="center"/>
    </xf>
    <xf xfId="0" numFmtId="164" applyNumberFormat="1" borderId="1" applyBorder="1" fontId="17" applyFont="1" fillId="0" applyAlignment="1">
      <alignment horizontal="center"/>
    </xf>
    <xf xfId="0" numFmtId="165" applyNumberFormat="1" borderId="16" applyBorder="1" fontId="9" applyFont="1" fillId="13" applyFill="1" applyAlignment="1">
      <alignment horizontal="center"/>
    </xf>
    <xf xfId="0" numFmtId="165" applyNumberFormat="1" borderId="16" applyBorder="1" fontId="9" applyFont="1" fillId="14" applyFill="1" applyAlignment="1">
      <alignment horizontal="center"/>
    </xf>
    <xf xfId="0" numFmtId="0" borderId="16" applyBorder="1" fontId="9" applyFont="1" fillId="14" applyFill="1" applyAlignment="1">
      <alignment horizontal="center"/>
    </xf>
    <xf xfId="0" numFmtId="0" borderId="33" applyBorder="1" fontId="17" applyFont="1" fillId="0" applyAlignment="1">
      <alignment horizontal="left"/>
    </xf>
    <xf xfId="0" numFmtId="0" borderId="16" applyBorder="1" fontId="9" applyFont="1" fillId="10" applyFill="1" applyAlignment="1">
      <alignment horizontal="center"/>
    </xf>
    <xf xfId="0" numFmtId="164" applyNumberFormat="1" borderId="1" applyBorder="1" fontId="18" applyFont="1" fillId="0" applyAlignment="1">
      <alignment horizontal="center"/>
    </xf>
    <xf xfId="0" numFmtId="0" borderId="16" applyBorder="1" fontId="9" applyFont="1" fillId="13" applyFill="1" applyAlignment="1">
      <alignment horizontal="center"/>
    </xf>
    <xf xfId="0" numFmtId="0" borderId="13" applyBorder="1" fontId="4" applyFont="1" fillId="7" applyFill="1" applyAlignment="1">
      <alignment horizontal="center"/>
    </xf>
    <xf xfId="0" numFmtId="0" borderId="33" applyBorder="1" fontId="19" applyFont="1" fillId="0" applyAlignment="1">
      <alignment horizontal="left"/>
    </xf>
    <xf xfId="0" numFmtId="164" applyNumberFormat="1" borderId="1" applyBorder="1" fontId="8" applyFont="1" fillId="0" applyAlignment="1">
      <alignment horizontal="left"/>
    </xf>
    <xf xfId="0" numFmtId="165" applyNumberFormat="1" borderId="16" applyBorder="1" fontId="20" applyFont="1" fillId="11" applyFill="1" applyAlignment="1">
      <alignment horizontal="center"/>
    </xf>
    <xf xfId="0" numFmtId="0" borderId="33" applyBorder="1" fontId="19" applyFont="1" fillId="0" applyAlignment="1">
      <alignment horizontal="center" wrapText="1"/>
    </xf>
    <xf xfId="0" numFmtId="164" applyNumberFormat="1" borderId="1" applyBorder="1" fontId="19" applyFont="1" fillId="0" applyAlignment="1">
      <alignment horizontal="center" wrapText="1"/>
    </xf>
    <xf xfId="0" numFmtId="0" borderId="33" applyBorder="1" fontId="19" applyFont="1" fillId="0" applyAlignment="1">
      <alignment horizontal="center"/>
    </xf>
    <xf xfId="0" numFmtId="164" applyNumberFormat="1" borderId="37" applyBorder="1" fontId="19" applyFont="1" fillId="0" applyAlignment="1">
      <alignment horizontal="center"/>
    </xf>
    <xf xfId="0" numFmtId="4" applyNumberFormat="1" borderId="38" applyBorder="1" fontId="8" applyFont="1" fillId="7" applyFill="1" applyAlignment="1">
      <alignment horizontal="left"/>
    </xf>
    <xf xfId="0" numFmtId="165" applyNumberFormat="1" borderId="16" applyBorder="1" fontId="20" applyFont="1" fillId="7" applyFill="1" applyAlignment="1">
      <alignment horizontal="center"/>
    </xf>
    <xf xfId="0" numFmtId="165" applyNumberFormat="1" borderId="16" applyBorder="1" fontId="9" applyFont="1" fillId="15" applyFill="1" applyAlignment="1">
      <alignment horizontal="center"/>
    </xf>
    <xf xfId="0" numFmtId="165" applyNumberFormat="1" borderId="16" applyBorder="1" fontId="20" applyFont="1" fillId="15" applyFill="1" applyAlignment="1">
      <alignment horizontal="center"/>
    </xf>
    <xf xfId="0" numFmtId="0" borderId="16" applyBorder="1" fontId="9" applyFont="1" fillId="15" applyFill="1" applyAlignment="1">
      <alignment horizontal="center"/>
    </xf>
    <xf xfId="0" numFmtId="4" applyNumberFormat="1" borderId="15" applyBorder="1" fontId="4" applyFont="1" fillId="4" applyFill="1" applyAlignment="1">
      <alignment horizontal="center"/>
    </xf>
    <xf xfId="0" numFmtId="0" borderId="33" applyBorder="1" fontId="16" applyFont="1" fillId="0" applyAlignment="1">
      <alignment horizontal="center"/>
    </xf>
    <xf xfId="0" numFmtId="164" applyNumberFormat="1" borderId="37" applyBorder="1" fontId="16" applyFont="1" fillId="0" applyAlignment="1">
      <alignment horizontal="center"/>
    </xf>
    <xf xfId="0" numFmtId="3" applyNumberFormat="1" borderId="16" applyBorder="1" fontId="9" applyFont="1" fillId="0" applyAlignment="1">
      <alignment horizontal="center" wrapText="1"/>
    </xf>
    <xf xfId="0" numFmtId="165" applyNumberFormat="1" borderId="16" applyBorder="1" fontId="20" applyFont="1" fillId="0" applyAlignment="1">
      <alignment horizontal="center"/>
    </xf>
    <xf xfId="0" numFmtId="0" borderId="16" applyBorder="1" fontId="9" applyFont="1" fillId="0" applyAlignment="1">
      <alignment horizontal="center"/>
    </xf>
    <xf xfId="0" numFmtId="164" applyNumberFormat="1" borderId="16" applyBorder="1" fontId="9" applyFont="1" fillId="0" applyAlignment="1">
      <alignment horizontal="center"/>
    </xf>
    <xf xfId="0" numFmtId="4" applyNumberFormat="1" borderId="39" applyBorder="1" fontId="4" applyFont="1" fillId="4" applyFill="1" applyAlignment="1">
      <alignment horizontal="center"/>
    </xf>
    <xf xfId="0" numFmtId="0" borderId="40" applyBorder="1" fontId="9" applyFont="1" fillId="0" applyAlignment="1">
      <alignment horizontal="center" wrapText="1"/>
    </xf>
    <xf xfId="0" numFmtId="0" borderId="1" applyBorder="1" fontId="8" applyFont="1" fillId="0" applyAlignment="1">
      <alignment horizontal="left" wrapText="1"/>
    </xf>
    <xf xfId="0" numFmtId="4" applyNumberFormat="1" borderId="41" applyBorder="1" fontId="4" applyFont="1" fillId="4" applyFill="1" applyAlignment="1">
      <alignment horizontal="center"/>
    </xf>
    <xf xfId="0" numFmtId="0" borderId="1" applyBorder="1" fontId="9" applyFont="1" fillId="0" applyAlignment="1">
      <alignment horizontal="center" wrapText="1"/>
    </xf>
    <xf xfId="0" numFmtId="3" applyNumberFormat="1" borderId="23" applyBorder="1" fontId="9" applyFont="1" fillId="0" applyAlignment="1">
      <alignment horizontal="center" wrapText="1"/>
    </xf>
    <xf xfId="0" numFmtId="3" applyNumberFormat="1" borderId="1" applyBorder="1" fontId="9" applyFont="1" fillId="0" applyAlignment="1">
      <alignment horizontal="center" wrapText="1"/>
    </xf>
    <xf xfId="0" numFmtId="165" applyNumberFormat="1" borderId="1" applyBorder="1" fontId="8" applyFont="1" fillId="0" applyAlignment="1">
      <alignment horizontal="left"/>
    </xf>
    <xf xfId="0" numFmtId="0" borderId="42" applyBorder="1" fontId="19" applyFont="1" fillId="0" applyAlignment="1">
      <alignment horizontal="center"/>
    </xf>
    <xf xfId="0" numFmtId="164" applyNumberFormat="1" borderId="43" applyBorder="1" fontId="19" applyFont="1" fillId="0" applyAlignment="1">
      <alignment horizontal="center"/>
    </xf>
    <xf xfId="0" numFmtId="165" applyNumberFormat="1" borderId="23" applyBorder="1" fontId="9" applyFont="1" fillId="0" applyAlignment="1">
      <alignment horizontal="center"/>
    </xf>
    <xf xfId="0" numFmtId="165" applyNumberFormat="1" borderId="23" applyBorder="1" fontId="20" applyFont="1" fillId="0" applyAlignment="1">
      <alignment horizontal="center"/>
    </xf>
    <xf xfId="0" numFmtId="0" borderId="23" applyBorder="1" fontId="9" applyFont="1" fillId="0" applyAlignment="1">
      <alignment horizontal="center"/>
    </xf>
    <xf xfId="0" numFmtId="164" applyNumberFormat="1" borderId="23" applyBorder="1" fontId="9" applyFont="1" fillId="0" applyAlignment="1">
      <alignment horizontal="center"/>
    </xf>
    <xf xfId="0" numFmtId="165" applyNumberFormat="1" borderId="24" applyBorder="1" fontId="4" applyFont="1" fillId="7" applyFill="1" applyAlignment="1">
      <alignment horizontal="center"/>
    </xf>
    <xf xfId="0" numFmtId="0" borderId="1" applyBorder="1" fontId="19" applyFont="1" fillId="0" applyAlignment="1">
      <alignment horizontal="center"/>
    </xf>
    <xf xfId="0" numFmtId="164" applyNumberFormat="1" borderId="1" applyBorder="1" fontId="19" applyFont="1" fillId="0" applyAlignment="1">
      <alignment horizontal="center"/>
    </xf>
    <xf xfId="0" numFmtId="0" borderId="38" applyBorder="1" fontId="8" applyFont="1" fillId="7" applyFill="1" applyAlignment="1">
      <alignment horizontal="center"/>
    </xf>
    <xf xfId="0" numFmtId="165" applyNumberFormat="1" borderId="1" applyBorder="1" fontId="4" applyFont="1" fillId="0" applyAlignment="1">
      <alignment horizontal="center"/>
    </xf>
    <xf xfId="0" numFmtId="165" applyNumberFormat="1" borderId="1" applyBorder="1" fontId="6" applyFont="1" fillId="0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165" applyNumberFormat="1" borderId="38" applyBorder="1" fontId="4" applyFont="1" fillId="7" applyFill="1" applyAlignment="1">
      <alignment horizontal="center"/>
    </xf>
    <xf xfId="0" numFmtId="165" applyNumberFormat="1" borderId="16" applyBorder="1" fontId="4" applyFont="1" fillId="16" applyFill="1" applyAlignment="1">
      <alignment horizontal="center"/>
    </xf>
    <xf xfId="0" numFmtId="165" applyNumberFormat="1" borderId="16" applyBorder="1" fontId="4" applyFont="1" fillId="17" applyFill="1" applyAlignment="1">
      <alignment horizontal="center"/>
    </xf>
    <xf xfId="0" numFmtId="165" applyNumberFormat="1" borderId="16" applyBorder="1" fontId="4" applyFont="1" fillId="18" applyFill="1" applyAlignment="1">
      <alignment horizontal="center"/>
    </xf>
    <xf xfId="0" numFmtId="0" borderId="16" applyBorder="1" fontId="4" applyFont="1" fillId="18" applyFill="1" applyAlignment="1">
      <alignment horizontal="center"/>
    </xf>
    <xf xfId="0" numFmtId="164" applyNumberFormat="1" borderId="16" applyBorder="1" fontId="4" applyFont="1" fillId="19" applyFill="1" applyAlignment="1">
      <alignment horizontal="center"/>
    </xf>
    <xf xfId="0" numFmtId="4" applyNumberFormat="1" borderId="16" applyBorder="1" fontId="4" applyFont="1" fillId="4" applyFill="1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" applyBorder="1" fontId="21" applyFont="1" fillId="0" applyAlignment="1">
      <alignment horizontal="left"/>
    </xf>
    <xf xfId="0" numFmtId="164" applyNumberFormat="1" borderId="6" applyBorder="1" fontId="3" applyFont="1" fillId="2" applyFill="1" applyAlignment="1">
      <alignment horizontal="left"/>
    </xf>
    <xf xfId="0" numFmtId="164" applyNumberFormat="1" borderId="8" applyBorder="1" fontId="8" applyFont="1" fillId="0" applyAlignment="1">
      <alignment horizontal="center" wrapText="1"/>
    </xf>
    <xf xfId="0" numFmtId="165" applyNumberFormat="1" borderId="35" applyBorder="1" fontId="11" applyFont="1" fillId="7" applyFill="1" applyAlignment="1">
      <alignment horizontal="center"/>
    </xf>
    <xf xfId="0" numFmtId="1" applyNumberFormat="1" borderId="35" applyBorder="1" fontId="16" applyFont="1" fillId="7" applyFill="1" applyAlignment="1">
      <alignment horizontal="center"/>
    </xf>
    <xf xfId="0" numFmtId="1" applyNumberFormat="1" borderId="35" applyBorder="1" fontId="11" applyFont="1" fillId="7" applyFill="1" applyAlignment="1">
      <alignment horizontal="center"/>
    </xf>
    <xf xfId="0" numFmtId="164" applyNumberFormat="1" borderId="35" applyBorder="1" fontId="11" applyFont="1" fillId="7" applyFill="1" applyAlignment="1">
      <alignment horizontal="center"/>
    </xf>
    <xf xfId="0" numFmtId="4" applyNumberFormat="1" borderId="35" applyBorder="1" fontId="11" applyFont="1" fillId="7" applyFill="1" applyAlignment="1">
      <alignment horizontal="center"/>
    </xf>
    <xf xfId="0" numFmtId="0" borderId="0" fontId="0" fillId="0" applyAlignment="1">
      <alignment horizontal="center" wrapText="1"/>
    </xf>
    <xf xfId="0" numFmtId="165" applyNumberFormat="1" borderId="0" fontId="0" fillId="0" applyAlignment="1">
      <alignment horizontal="general"/>
    </xf>
    <xf xfId="0" numFmtId="165" applyNumberFormat="1" borderId="1" applyBorder="1" fontId="5" applyFont="1" fillId="0" applyAlignment="1">
      <alignment horizontal="center"/>
    </xf>
    <xf xfId="0" numFmtId="164" applyNumberFormat="1" borderId="20" applyBorder="1" fontId="3" applyFont="1" fillId="2" applyFill="1" applyAlignment="1">
      <alignment horizontal="left"/>
    </xf>
    <xf xfId="0" numFmtId="0" borderId="7" applyBorder="1" fontId="6" applyFont="1" fillId="4" applyFill="1" applyAlignment="1">
      <alignment horizontal="center"/>
    </xf>
    <xf xfId="0" numFmtId="165" applyNumberFormat="1" borderId="44" applyBorder="1" fontId="6" applyFont="1" fillId="0" applyAlignment="1">
      <alignment horizontal="center"/>
    </xf>
    <xf xfId="0" numFmtId="164" applyNumberFormat="1" borderId="29" applyBorder="1" fontId="6" applyFont="1" fillId="4" applyFill="1" applyAlignment="1">
      <alignment horizontal="center"/>
    </xf>
    <xf xfId="0" numFmtId="164" applyNumberFormat="1" borderId="1" applyBorder="1" fontId="22" applyFont="1" fillId="0" applyAlignment="1">
      <alignment horizontal="left" wrapText="1"/>
    </xf>
    <xf xfId="0" numFmtId="0" borderId="33" applyBorder="1" fontId="23" applyFont="1" fillId="0" applyAlignment="1">
      <alignment horizontal="left"/>
    </xf>
    <xf xfId="0" numFmtId="164" applyNumberFormat="1" borderId="1" applyBorder="1" fontId="17" applyFont="1" fillId="0" applyAlignment="1">
      <alignment horizontal="left"/>
    </xf>
    <xf xfId="0" numFmtId="0" borderId="33" applyBorder="1" fontId="5" applyFont="1" fillId="0" applyAlignment="1">
      <alignment horizontal="left"/>
    </xf>
    <xf xfId="0" numFmtId="164" applyNumberFormat="1" borderId="37" applyBorder="1" fontId="5" applyFont="1" fillId="0" applyAlignment="1">
      <alignment horizontal="left"/>
    </xf>
    <xf xfId="0" numFmtId="165" applyNumberFormat="1" borderId="16" applyBorder="1" fontId="9" applyFont="1" fillId="20" applyFill="1" applyAlignment="1">
      <alignment horizontal="center"/>
    </xf>
    <xf xfId="0" numFmtId="165" applyNumberFormat="1" borderId="16" applyBorder="1" fontId="20" applyFont="1" fillId="20" applyFill="1" applyAlignment="1">
      <alignment horizontal="center"/>
    </xf>
    <xf xfId="0" numFmtId="165" applyNumberFormat="1" borderId="13" applyBorder="1" fontId="4" applyFont="1" fillId="0" applyAlignment="1">
      <alignment horizontal="center"/>
    </xf>
    <xf xfId="0" numFmtId="3" applyNumberFormat="1" borderId="16" applyBorder="1" fontId="9" applyFont="1" fillId="0" applyAlignment="1">
      <alignment horizontal="center"/>
    </xf>
    <xf xfId="0" numFmtId="165" applyNumberFormat="1" borderId="16" applyBorder="1" fontId="4" applyFont="1" fillId="4" applyFill="1" applyAlignment="1">
      <alignment horizontal="center" wrapText="1"/>
    </xf>
    <xf xfId="0" numFmtId="165" applyNumberFormat="1" borderId="16" applyBorder="1" fontId="4" applyFont="1" fillId="19" applyFill="1" applyAlignment="1">
      <alignment horizontal="center"/>
    </xf>
    <xf xfId="0" numFmtId="0" borderId="0" fontId="0" fillId="0" applyAlignment="1">
      <alignment horizontal="center" wrapText="1"/>
    </xf>
    <xf xfId="0" numFmtId="165" applyNumberFormat="1" borderId="0" fontId="0" fillId="0" applyAlignment="1">
      <alignment horizontal="general"/>
    </xf>
    <xf xfId="0" numFmtId="165" applyNumberFormat="1" borderId="45" applyBorder="1" fontId="24" applyFont="1" fillId="7" applyFill="1" applyAlignment="1">
      <alignment horizontal="center"/>
    </xf>
    <xf xfId="0" numFmtId="164" applyNumberFormat="1" borderId="13" applyBorder="1" fontId="14" applyFont="1" fillId="7" applyFill="1" applyAlignment="1">
      <alignment horizontal="center"/>
    </xf>
    <xf xfId="0" numFmtId="0" borderId="46" applyBorder="1" fontId="6" applyFont="1" fillId="4" applyFill="1" applyAlignment="1">
      <alignment horizontal="center" wrapText="1"/>
    </xf>
    <xf xfId="0" numFmtId="165" applyNumberFormat="1" borderId="46" applyBorder="1" fontId="6" applyFont="1" fillId="4" applyFill="1" applyAlignment="1">
      <alignment horizontal="center"/>
    </xf>
    <xf xfId="0" numFmtId="165" applyNumberFormat="1" borderId="1" applyBorder="1" fontId="25" applyFont="1" fillId="0" applyAlignment="1">
      <alignment horizontal="center"/>
    </xf>
    <xf xfId="0" numFmtId="0" borderId="16" applyBorder="1" fontId="9" applyFont="1" fillId="7" applyFill="1" applyAlignment="1">
      <alignment horizontal="center" wrapText="1"/>
    </xf>
    <xf xfId="0" numFmtId="165" applyNumberFormat="1" borderId="16" applyBorder="1" fontId="20" applyFont="1" fillId="14" applyFill="1" applyAlignment="1">
      <alignment horizontal="center"/>
    </xf>
    <xf xfId="0" numFmtId="165" applyNumberFormat="1" borderId="47" applyBorder="1" fontId="4" applyFont="1" fillId="7" applyFill="1" applyAlignment="1">
      <alignment horizontal="center"/>
    </xf>
    <xf xfId="0" numFmtId="3" applyNumberFormat="1" borderId="16" applyBorder="1" fontId="9" applyFont="1" fillId="7" applyFill="1" applyAlignment="1">
      <alignment horizontal="center" wrapText="1"/>
    </xf>
    <xf xfId="0" numFmtId="165" applyNumberFormat="1" borderId="16" applyBorder="1" fontId="9" applyFont="1" fillId="21" applyFill="1" applyAlignment="1">
      <alignment horizontal="center"/>
    </xf>
    <xf xfId="0" numFmtId="165" applyNumberFormat="1" borderId="16" applyBorder="1" fontId="20" applyFont="1" fillId="21" applyFill="1" applyAlignment="1">
      <alignment horizontal="center"/>
    </xf>
    <xf xfId="0" numFmtId="0" borderId="33" applyBorder="1" fontId="26" applyFont="1" fillId="0" applyAlignment="1">
      <alignment horizontal="left"/>
    </xf>
    <xf xfId="0" numFmtId="165" applyNumberFormat="1" borderId="34" applyBorder="1" fontId="4" applyFont="1" fillId="0" applyAlignment="1">
      <alignment horizontal="center"/>
    </xf>
    <xf xfId="0" numFmtId="0" borderId="1" applyBorder="1" fontId="17" applyFont="1" fillId="0" applyAlignment="1">
      <alignment horizontal="center"/>
    </xf>
    <xf xfId="0" numFmtId="0" borderId="48" applyBorder="1" fontId="8" applyFont="1" fillId="7" applyFill="1" applyAlignment="1">
      <alignment horizontal="center"/>
    </xf>
    <xf xfId="0" numFmtId="0" borderId="49" applyBorder="1" fontId="8" applyFont="1" fillId="7" applyFill="1" applyAlignment="1">
      <alignment horizontal="center"/>
    </xf>
    <xf xfId="0" numFmtId="165" applyNumberFormat="1" borderId="50" applyBorder="1" fontId="4" applyFont="1" fillId="0" applyAlignment="1">
      <alignment horizontal="center"/>
    </xf>
    <xf xfId="0" numFmtId="4" applyNumberFormat="1" borderId="38" applyBorder="1" fontId="4" applyFont="1" fillId="4" applyFill="1" applyAlignment="1">
      <alignment horizontal="center"/>
    </xf>
    <xf xfId="0" numFmtId="0" borderId="1" applyBorder="1" fontId="19" applyFont="1" fillId="0" applyAlignment="1">
      <alignment horizontal="left" wrapText="1"/>
    </xf>
    <xf xfId="0" numFmtId="4" applyNumberFormat="1" borderId="16" applyBorder="1" fontId="8" applyFont="1" fillId="7" applyFill="1" applyAlignment="1">
      <alignment horizontal="center"/>
    </xf>
    <xf xfId="0" numFmtId="0" borderId="51" applyBorder="1" fontId="9" applyFont="1" fillId="0" applyAlignment="1">
      <alignment horizontal="center" wrapText="1"/>
    </xf>
    <xf xfId="0" numFmtId="4" applyNumberFormat="1" borderId="15" applyBorder="1" fontId="4" applyFont="1" fillId="7" applyFill="1" applyAlignment="1">
      <alignment horizontal="center"/>
    </xf>
    <xf xfId="0" numFmtId="4" applyNumberFormat="1" borderId="38" applyBorder="1" fontId="8" applyFont="1" fillId="7" applyFill="1" applyAlignment="1">
      <alignment horizontal="center"/>
    </xf>
    <xf xfId="0" numFmtId="0" borderId="30" applyBorder="1" fontId="9" applyFont="1" fillId="0" applyAlignment="1">
      <alignment horizontal="center" wrapText="1"/>
    </xf>
    <xf xfId="0" numFmtId="165" applyNumberFormat="1" borderId="16" applyBorder="1" fontId="4" applyFont="1" fillId="0" applyAlignment="1">
      <alignment horizontal="center"/>
    </xf>
    <xf xfId="0" numFmtId="164" applyNumberFormat="1" borderId="33" applyBorder="1" fontId="17" applyFont="1" fillId="0" applyAlignment="1">
      <alignment horizontal="center"/>
    </xf>
    <xf xfId="0" numFmtId="0" borderId="28" applyBorder="1" fontId="8" applyFont="1" fillId="7" applyFill="1" applyAlignment="1">
      <alignment horizontal="center"/>
    </xf>
    <xf xfId="0" numFmtId="0" borderId="52" applyBorder="1" fontId="8" applyFont="1" fillId="7" applyFill="1" applyAlignment="1">
      <alignment horizontal="center"/>
    </xf>
    <xf xfId="0" numFmtId="165" applyNumberFormat="1" borderId="16" applyBorder="1" fontId="8" applyFont="1" fillId="7" applyFill="1" applyAlignment="1">
      <alignment horizontal="left"/>
    </xf>
    <xf xfId="0" numFmtId="164" applyNumberFormat="1" borderId="47" applyBorder="1" fontId="4" applyFont="1" fillId="9" applyFill="1" applyAlignment="1">
      <alignment horizontal="center"/>
    </xf>
    <xf xfId="0" numFmtId="165" applyNumberFormat="1" borderId="16" applyBorder="1" fontId="9" applyFont="1" fillId="22" applyFill="1" applyAlignment="1">
      <alignment horizontal="center"/>
    </xf>
    <xf xfId="0" numFmtId="165" applyNumberFormat="1" borderId="16" applyBorder="1" fontId="27" applyFont="1" fillId="7" applyFill="1" applyAlignment="1">
      <alignment horizontal="center"/>
    </xf>
    <xf xfId="0" numFmtId="165" applyNumberFormat="1" borderId="16" applyBorder="1" fontId="27" applyFont="1" fillId="22" applyFill="1" applyAlignment="1">
      <alignment horizontal="center"/>
    </xf>
    <xf xfId="0" numFmtId="0" borderId="16" applyBorder="1" fontId="9" applyFont="1" fillId="23" applyFill="1" applyAlignment="1">
      <alignment horizontal="center" wrapText="1"/>
    </xf>
    <xf xfId="0" numFmtId="165" applyNumberFormat="1" borderId="16" applyBorder="1" fontId="9" applyFont="1" fillId="23" applyFill="1" applyAlignment="1">
      <alignment horizontal="center"/>
    </xf>
    <xf xfId="0" numFmtId="165" applyNumberFormat="1" borderId="16" applyBorder="1" fontId="20" applyFont="1" fillId="23" applyFill="1" applyAlignment="1">
      <alignment horizontal="center"/>
    </xf>
    <xf xfId="0" numFmtId="165" applyNumberFormat="1" borderId="16" applyBorder="1" fontId="8" applyFont="1" fillId="0" applyAlignment="1">
      <alignment horizontal="left"/>
    </xf>
    <xf xfId="0" numFmtId="3" applyNumberFormat="1" borderId="53" applyBorder="1" fontId="9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5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0" borderId="4" applyBorder="1" fontId="3" applyFont="1" fillId="2" applyFill="1" applyAlignment="1">
      <alignment horizontal="left" wrapText="1"/>
    </xf>
    <xf xfId="0" numFmtId="165" applyNumberFormat="1" borderId="4" applyBorder="1" fontId="3" applyFont="1" fillId="2" applyFill="1" applyAlignment="1">
      <alignment horizontal="left"/>
    </xf>
    <xf xfId="0" numFmtId="164" applyNumberFormat="1" borderId="4" applyBorder="1" fontId="3" applyFont="1" fillId="2" applyFill="1" applyAlignment="1">
      <alignment horizontal="left"/>
    </xf>
    <xf xfId="0" numFmtId="3" applyNumberFormat="1" borderId="4" applyBorder="1" fontId="6" applyFont="1" fillId="4" applyFill="1" applyAlignment="1">
      <alignment horizontal="right" wrapText="1"/>
    </xf>
    <xf xfId="0" numFmtId="3" applyNumberFormat="1" borderId="5" applyBorder="1" fontId="6" applyFont="1" fillId="4" applyFill="1" applyAlignment="1">
      <alignment horizontal="right" wrapText="1"/>
    </xf>
    <xf xfId="0" numFmtId="3" applyNumberFormat="1" borderId="14" applyBorder="1" fontId="6" applyFont="1" fillId="6" applyFill="1" applyAlignment="1">
      <alignment horizontal="right" wrapText="1"/>
    </xf>
    <xf xfId="0" numFmtId="3" applyNumberFormat="1" borderId="54" applyBorder="1" fontId="6" applyFont="1" fillId="6" applyFill="1" applyAlignment="1">
      <alignment horizontal="right" wrapText="1"/>
    </xf>
    <xf xfId="0" numFmtId="0" borderId="54" applyBorder="1" fontId="4" applyFont="1" fillId="6" applyFill="1" applyAlignment="1">
      <alignment horizontal="right" wrapText="1"/>
    </xf>
    <xf xfId="0" numFmtId="0" borderId="54" applyBorder="1" fontId="6" applyFont="1" fillId="3" applyFill="1" applyAlignment="1">
      <alignment horizontal="right" wrapText="1"/>
    </xf>
    <xf xfId="0" numFmtId="0" borderId="54" applyBorder="1" fontId="4" applyFont="1" fillId="3" applyFill="1" applyAlignment="1">
      <alignment horizontal="right" wrapText="1"/>
    </xf>
    <xf xfId="0" numFmtId="3" applyNumberFormat="1" borderId="14" applyBorder="1" fontId="6" applyFont="1" fillId="3" applyFill="1" applyAlignment="1">
      <alignment horizontal="right" wrapText="1"/>
    </xf>
    <xf xfId="0" numFmtId="3" applyNumberFormat="1" borderId="54" applyBorder="1" fontId="6" applyFont="1" fillId="3" applyFill="1" applyAlignment="1">
      <alignment horizontal="right" wrapText="1"/>
    </xf>
    <xf xfId="0" numFmtId="164" applyNumberFormat="1" borderId="14" applyBorder="1" fontId="6" applyFont="1" fillId="3" applyFill="1" applyAlignment="1">
      <alignment horizontal="right" wrapText="1"/>
    </xf>
    <xf xfId="0" numFmtId="164" applyNumberFormat="1" borderId="54" applyBorder="1" fontId="6" applyFont="1" fillId="3" applyFill="1" applyAlignment="1">
      <alignment horizontal="right" wrapText="1"/>
    </xf>
    <xf xfId="0" numFmtId="164" applyNumberFormat="1" borderId="19" applyBorder="1" fontId="3" applyFont="1" fillId="2" applyFill="1" applyAlignment="1">
      <alignment horizontal="center"/>
    </xf>
    <xf xfId="0" numFmtId="164" applyNumberFormat="1" borderId="21" applyBorder="1" fontId="6" applyFont="1" fillId="3" applyFill="1" applyAlignment="1">
      <alignment horizontal="right" wrapText="1"/>
    </xf>
    <xf xfId="0" numFmtId="164" applyNumberFormat="1" borderId="55" applyBorder="1" fontId="6" applyFont="1" fillId="3" applyFill="1" applyAlignment="1">
      <alignment horizontal="right" wrapText="1"/>
    </xf>
    <xf xfId="0" numFmtId="0" borderId="19" applyBorder="1" fontId="3" applyFont="1" fillId="2" applyFill="1" applyAlignment="1">
      <alignment horizontal="left" wrapText="1"/>
    </xf>
    <xf xfId="0" numFmtId="165" applyNumberFormat="1" borderId="19" applyBorder="1" fontId="3" applyFont="1" fillId="2" applyFill="1" applyAlignment="1">
      <alignment horizontal="left"/>
    </xf>
    <xf xfId="0" numFmtId="164" applyNumberFormat="1" borderId="19" applyBorder="1" fontId="3" applyFont="1" fillId="2" applyFill="1" applyAlignment="1">
      <alignment horizontal="left"/>
    </xf>
    <xf xfId="0" numFmtId="165" applyNumberFormat="1" borderId="13" applyBorder="1" fontId="15" applyFont="1" fillId="2" applyFill="1" applyAlignment="1">
      <alignment horizontal="center"/>
    </xf>
    <xf xfId="0" numFmtId="165" applyNumberFormat="1" borderId="34" applyBorder="1" fontId="11" applyFont="1" fillId="0" applyAlignment="1">
      <alignment horizontal="center"/>
    </xf>
    <xf xfId="0" numFmtId="165" applyNumberFormat="1" borderId="38" applyBorder="1" fontId="9" applyFont="1" fillId="7" applyFill="1" applyAlignment="1">
      <alignment horizontal="center"/>
    </xf>
    <xf xfId="0" numFmtId="0" borderId="56" applyBorder="1" fontId="3" applyFont="1" fillId="2" applyFill="1" applyAlignment="1">
      <alignment horizontal="center"/>
    </xf>
    <xf xfId="0" numFmtId="164" applyNumberFormat="1" borderId="57" applyBorder="1" fontId="3" applyFont="1" fillId="2" applyFill="1" applyAlignment="1">
      <alignment horizontal="center"/>
    </xf>
    <xf xfId="0" numFmtId="0" borderId="1" applyBorder="1" fontId="17" applyFont="1" fillId="0" applyAlignment="1">
      <alignment horizontal="left" wrapText="1"/>
    </xf>
    <xf xfId="0" numFmtId="164" applyNumberFormat="1" borderId="1" applyBorder="1" fontId="17" applyFont="1" fillId="0" applyAlignment="1">
      <alignment horizontal="left" wrapText="1"/>
    </xf>
    <xf xfId="0" numFmtId="164" applyNumberFormat="1" borderId="33" applyBorder="1" fontId="16" applyFont="1" fillId="0" applyAlignment="1">
      <alignment horizontal="center"/>
    </xf>
    <xf xfId="0" numFmtId="164" applyNumberFormat="1" borderId="33" applyBorder="1" fontId="19" applyFont="1" fillId="0" applyAlignment="1">
      <alignment horizontal="center"/>
    </xf>
    <xf xfId="0" numFmtId="164" applyNumberFormat="1" borderId="42" applyBorder="1" fontId="19" applyFont="1" fillId="0" applyAlignment="1">
      <alignment horizontal="center"/>
    </xf>
    <xf xfId="0" numFmtId="3" applyNumberFormat="1" borderId="1" applyBorder="1" fontId="28" applyFont="1" fillId="0" applyAlignment="1">
      <alignment horizontal="center"/>
    </xf>
    <xf xfId="0" numFmtId="165" applyNumberFormat="1" borderId="16" applyBorder="1" fontId="20" applyFont="1" fillId="8" applyFill="1" applyAlignment="1">
      <alignment horizontal="center"/>
    </xf>
    <xf xfId="0" numFmtId="165" applyNumberFormat="1" borderId="16" applyBorder="1" fontId="9" applyFont="1" fillId="24" applyFill="1" applyAlignment="1">
      <alignment horizontal="center"/>
    </xf>
    <xf xfId="0" numFmtId="165" applyNumberFormat="1" borderId="38" applyBorder="1" fontId="20" applyFont="1" fillId="7" applyFill="1" applyAlignment="1">
      <alignment horizontal="center"/>
    </xf>
    <xf xfId="0" numFmtId="165" applyNumberFormat="1" borderId="16" applyBorder="1" fontId="20" applyFont="1" fillId="13" applyFill="1" applyAlignment="1">
      <alignment horizontal="center"/>
    </xf>
    <xf xfId="0" numFmtId="0" borderId="1" applyBorder="1" fontId="19" applyFont="1" fillId="0" applyAlignment="1">
      <alignment horizontal="center" wrapText="1"/>
    </xf>
    <xf xfId="0" numFmtId="0" borderId="1" applyBorder="1" fontId="29" applyFont="1" fillId="0" applyAlignment="1">
      <alignment horizontal="left" wrapText="1"/>
    </xf>
    <xf xfId="0" numFmtId="0" borderId="33" applyBorder="1" fontId="30" applyFont="1" fillId="0" applyAlignment="1">
      <alignment horizontal="center"/>
    </xf>
    <xf xfId="0" numFmtId="164" applyNumberFormat="1" borderId="33" applyBorder="1" fontId="30" applyFont="1" fillId="0" applyAlignment="1">
      <alignment horizontal="center"/>
    </xf>
    <xf xfId="0" numFmtId="165" applyNumberFormat="1" borderId="16" applyBorder="1" fontId="20" applyFont="1" fillId="22" applyFill="1" applyAlignment="1">
      <alignment horizontal="center"/>
    </xf>
    <xf xfId="0" numFmtId="4" applyNumberFormat="1" borderId="15" applyBorder="1" fontId="6" applyFont="1" fillId="25" applyFill="1" applyAlignment="1">
      <alignment horizontal="center" wrapText="1"/>
    </xf>
    <xf xfId="0" numFmtId="0" borderId="38" applyBorder="1" fontId="8" applyFont="1" fillId="7" applyFill="1" applyAlignment="1">
      <alignment horizontal="left"/>
    </xf>
    <xf xfId="0" numFmtId="165" applyNumberFormat="1" borderId="16" applyBorder="1" fontId="9" applyFont="1" fillId="26" applyFill="1" applyAlignment="1">
      <alignment horizontal="center"/>
    </xf>
    <xf xfId="0" numFmtId="0" borderId="33" applyBorder="1" fontId="26" applyFont="1" fillId="0" applyAlignment="1">
      <alignment horizontal="center" wrapText="1"/>
    </xf>
    <xf xfId="0" numFmtId="164" applyNumberFormat="1" borderId="1" applyBorder="1" fontId="26" applyFont="1" fillId="0" applyAlignment="1">
      <alignment horizontal="center" wrapText="1"/>
    </xf>
    <xf xfId="0" numFmtId="164" applyNumberFormat="1" borderId="13" applyBorder="1" fontId="4" applyFont="1" fillId="7" applyFill="1" applyAlignment="1">
      <alignment horizontal="center"/>
    </xf>
    <xf xfId="0" numFmtId="165" applyNumberFormat="1" borderId="13" applyBorder="1" fontId="15" applyFont="1" fillId="12" applyFill="1" applyAlignment="1">
      <alignment horizontal="center"/>
    </xf>
    <xf xfId="0" numFmtId="165" applyNumberFormat="1" borderId="16" applyBorder="1" fontId="9" applyFont="1" fillId="27" applyFill="1" applyAlignment="1">
      <alignment horizontal="center"/>
    </xf>
    <xf xfId="0" numFmtId="164" applyNumberFormat="1" borderId="13" applyBorder="1" fontId="4" applyFont="1" fillId="0" applyAlignment="1">
      <alignment horizontal="center"/>
    </xf>
    <xf xfId="0" numFmtId="165" applyNumberFormat="1" borderId="38" applyBorder="1" fontId="8" applyFont="1" fillId="10" applyFill="1" applyAlignment="1">
      <alignment horizontal="left"/>
    </xf>
    <xf xfId="0" numFmtId="0" borderId="1" applyBorder="1" fontId="31" applyFont="1" fillId="0" applyAlignment="1">
      <alignment horizontal="center"/>
    </xf>
    <xf xfId="0" numFmtId="164" applyNumberFormat="1" borderId="1" applyBorder="1" fontId="32" applyFont="1" fillId="0" applyAlignment="1">
      <alignment horizontal="center"/>
    </xf>
    <xf xfId="0" numFmtId="0" borderId="1" applyBorder="1" fontId="33" applyFont="1" fillId="0" applyAlignment="1">
      <alignment horizontal="left"/>
    </xf>
    <xf xfId="0" numFmtId="165" applyNumberFormat="1" borderId="1" applyBorder="1" fontId="34" applyFont="1" fillId="0" applyAlignment="1">
      <alignment horizontal="left"/>
    </xf>
    <xf xfId="0" numFmtId="164" applyNumberFormat="1" borderId="1" applyBorder="1" fontId="34" applyFont="1" fillId="0" applyAlignment="1">
      <alignment horizontal="left"/>
    </xf>
    <xf xfId="0" numFmtId="0" borderId="1" applyBorder="1" fontId="34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right"/>
    </xf>
    <xf xfId="0" numFmtId="0" borderId="38" applyBorder="1" fontId="2" applyFont="1" fillId="6" applyFill="1" applyAlignment="1">
      <alignment horizontal="left"/>
    </xf>
    <xf xfId="0" numFmtId="165" applyNumberFormat="1" borderId="38" applyBorder="1" fontId="2" applyFont="1" fillId="6" applyFill="1" applyAlignment="1">
      <alignment horizontal="left"/>
    </xf>
    <xf xfId="0" numFmtId="164" applyNumberFormat="1" borderId="38" applyBorder="1" fontId="2" applyFont="1" fillId="6" applyFill="1" applyAlignment="1">
      <alignment horizontal="left"/>
    </xf>
    <xf xfId="0" numFmtId="0" borderId="16" applyBorder="1" fontId="35" applyFont="1" fillId="2" applyFill="1" applyAlignment="1">
      <alignment horizontal="left"/>
    </xf>
    <xf xfId="0" numFmtId="165" applyNumberFormat="1" borderId="16" applyBorder="1" fontId="35" applyFont="1" fillId="2" applyFill="1" applyAlignment="1">
      <alignment horizontal="left"/>
    </xf>
    <xf xfId="0" numFmtId="164" applyNumberFormat="1" borderId="16" applyBorder="1" fontId="35" applyFont="1" fillId="2" applyFill="1" applyAlignment="1">
      <alignment horizontal="left"/>
    </xf>
    <xf xfId="0" numFmtId="0" borderId="16" applyBorder="1" fontId="36" applyFont="1" fillId="4" applyFill="1" applyAlignment="1">
      <alignment horizontal="right"/>
    </xf>
    <xf xfId="0" numFmtId="165" applyNumberFormat="1" borderId="16" applyBorder="1" fontId="36" applyFont="1" fillId="4" applyFill="1" applyAlignment="1">
      <alignment horizontal="center"/>
    </xf>
    <xf xfId="0" numFmtId="164" applyNumberFormat="1" borderId="16" applyBorder="1" fontId="36" applyFont="1" fillId="4" applyFill="1" applyAlignment="1">
      <alignment horizontal="center"/>
    </xf>
    <xf xfId="0" numFmtId="165" applyNumberFormat="1" borderId="16" applyBorder="1" fontId="1" applyFont="1" fillId="0" applyAlignment="1">
      <alignment horizontal="center"/>
    </xf>
    <xf xfId="0" numFmtId="164" applyNumberFormat="1" borderId="16" applyBorder="1" fontId="1" applyFont="1" fillId="0" applyAlignment="1">
      <alignment horizontal="center"/>
    </xf>
    <xf xfId="0" numFmtId="0" borderId="16" applyBorder="1" fontId="2" applyFont="1" fillId="4" applyFill="1" applyAlignment="1">
      <alignment horizontal="left"/>
    </xf>
    <xf xfId="0" numFmtId="165" applyNumberFormat="1" borderId="16" applyBorder="1" fontId="2" applyFont="1" fillId="4" applyFill="1" applyAlignment="1">
      <alignment horizontal="left"/>
    </xf>
    <xf xfId="0" numFmtId="164" applyNumberFormat="1" borderId="16" applyBorder="1" fontId="2" applyFont="1" fillId="4" applyFill="1" applyAlignment="1">
      <alignment horizontal="left"/>
    </xf>
    <xf xfId="0" numFmtId="0" borderId="16" applyBorder="1" fontId="1" applyFont="1" fillId="0" applyAlignment="1">
      <alignment horizontal="left"/>
    </xf>
    <xf xfId="0" numFmtId="165" applyNumberFormat="1" borderId="16" applyBorder="1" fontId="1" applyFont="1" fillId="0" applyAlignment="1">
      <alignment horizontal="left"/>
    </xf>
    <xf xfId="0" numFmtId="164" applyNumberFormat="1" borderId="16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58" applyBorder="1" fontId="9" applyFont="1" fillId="0" applyAlignment="1">
      <alignment horizontal="right"/>
    </xf>
    <xf xfId="0" numFmtId="0" borderId="59" applyBorder="1" fontId="37" applyFont="1" fillId="0" applyAlignment="1">
      <alignment horizontal="center"/>
    </xf>
    <xf xfId="0" numFmtId="0" borderId="1" applyBorder="1" fontId="37" applyFont="1" fillId="0" applyAlignment="1">
      <alignment horizontal="center"/>
    </xf>
    <xf xfId="0" numFmtId="0" borderId="16" applyBorder="1" fontId="36" applyFont="1" fillId="5" applyFill="1" applyAlignment="1">
      <alignment horizontal="right"/>
    </xf>
    <xf xfId="0" numFmtId="0" borderId="16" applyBorder="1" fontId="38" applyFont="1" fillId="5" applyFill="1" applyAlignment="1">
      <alignment horizontal="center"/>
    </xf>
    <xf xfId="0" numFmtId="0" borderId="35" applyBorder="1" fontId="38" applyFont="1" fillId="5" applyFill="1" applyAlignment="1">
      <alignment horizontal="center"/>
    </xf>
    <xf xfId="0" numFmtId="0" borderId="16" applyBorder="1" fontId="35" applyFont="1" fillId="2" applyFill="1" applyAlignment="1">
      <alignment horizontal="right" wrapText="1"/>
    </xf>
    <xf xfId="0" numFmtId="0" borderId="16" applyBorder="1" fontId="35" applyFont="1" fillId="2" applyFill="1" applyAlignment="1">
      <alignment horizontal="center"/>
    </xf>
    <xf xfId="0" numFmtId="0" borderId="13" applyBorder="1" fontId="35" applyFont="1" fillId="2" applyFill="1" applyAlignment="1">
      <alignment horizontal="center"/>
    </xf>
    <xf xfId="0" numFmtId="0" borderId="16" applyBorder="1" fontId="1" applyFont="1" fillId="0" applyAlignment="1">
      <alignment horizontal="right" wrapText="1"/>
    </xf>
    <xf xfId="0" numFmtId="0" borderId="16" applyBorder="1" fontId="1" applyFont="1" fillId="0" applyAlignment="1">
      <alignment horizontal="center"/>
    </xf>
    <xf xfId="0" numFmtId="0" borderId="16" applyBorder="1" fontId="1" applyFont="1" fillId="0" applyAlignment="1">
      <alignment horizontal="right"/>
    </xf>
    <xf xfId="0" numFmtId="0" borderId="16" applyBorder="1" fontId="1" applyFont="1" fillId="28" applyFill="1" applyAlignment="1">
      <alignment horizontal="center"/>
    </xf>
    <xf xfId="0" numFmtId="0" borderId="16" applyBorder="1" fontId="38" applyFont="1" fillId="4" applyFill="1" applyAlignment="1">
      <alignment horizontal="center"/>
    </xf>
    <xf xfId="0" numFmtId="0" borderId="1" applyBorder="1" fontId="39" applyFont="1" fillId="0" applyAlignment="1">
      <alignment horizontal="left"/>
    </xf>
    <xf xfId="0" numFmtId="0" borderId="37" applyBorder="1" fontId="37" applyFont="1" fillId="0" applyAlignment="1">
      <alignment horizontal="center"/>
    </xf>
    <xf xfId="0" numFmtId="0" borderId="60" applyBorder="1" fontId="35" applyFont="1" fillId="2" applyFill="1" applyAlignment="1">
      <alignment horizontal="right" wrapText="1"/>
    </xf>
    <xf xfId="0" numFmtId="0" borderId="16" applyBorder="1" fontId="40" applyFont="1" fillId="2" applyFill="1" applyAlignment="1">
      <alignment horizontal="center"/>
    </xf>
    <xf xfId="0" numFmtId="0" borderId="12" applyBorder="1" fontId="1" applyFont="1" fillId="0" applyAlignment="1">
      <alignment horizontal="right"/>
    </xf>
    <xf xfId="0" numFmtId="0" borderId="13" applyBorder="1" fontId="1" applyFont="1" fillId="7" applyFill="1" applyAlignment="1">
      <alignment horizontal="left"/>
    </xf>
    <xf xfId="0" numFmtId="0" borderId="12" applyBorder="1" fontId="41" applyFont="1" fillId="0" applyAlignment="1">
      <alignment horizontal="right"/>
    </xf>
    <xf xfId="0" numFmtId="0" borderId="13" applyBorder="1" fontId="1" applyFont="1" fillId="0" applyAlignment="1">
      <alignment horizontal="left"/>
    </xf>
    <xf xfId="0" numFmtId="0" borderId="16" applyBorder="1" fontId="1" applyFont="1" fillId="5" applyFill="1" applyAlignment="1">
      <alignment horizontal="left"/>
    </xf>
    <xf xfId="0" numFmtId="0" borderId="13" applyBorder="1" fontId="1" applyFont="1" fillId="5" applyFill="1" applyAlignment="1">
      <alignment horizontal="left"/>
    </xf>
    <xf xfId="0" numFmtId="0" borderId="12" applyBorder="1" fontId="35" applyFont="1" fillId="2" applyFill="1" applyAlignment="1">
      <alignment horizontal="right" wrapText="1"/>
    </xf>
    <xf xfId="0" numFmtId="0" borderId="16" applyBorder="1" fontId="1" applyFont="1" fillId="7" applyFill="1" applyAlignment="1">
      <alignment horizontal="left"/>
    </xf>
    <xf xfId="0" numFmtId="0" borderId="16" applyBorder="1" fontId="35" applyFont="1" fillId="0" applyAlignment="1">
      <alignment horizontal="center"/>
    </xf>
    <xf xfId="0" numFmtId="0" borderId="13" applyBorder="1" fontId="35" applyFont="1" fillId="0" applyAlignment="1">
      <alignment horizontal="center"/>
    </xf>
    <xf xfId="0" numFmtId="0" borderId="12" applyBorder="1" fontId="1" applyFont="1" fillId="0" applyAlignment="1">
      <alignment horizontal="right" wrapText="1"/>
    </xf>
    <xf xfId="0" numFmtId="0" borderId="4" applyBorder="1" fontId="35" applyFont="1" fillId="5" applyFill="1" applyAlignment="1">
      <alignment horizontal="left"/>
    </xf>
    <xf xfId="0" numFmtId="0" borderId="5" applyBorder="1" fontId="35" applyFont="1" fillId="5" applyFill="1" applyAlignment="1">
      <alignment horizontal="left"/>
    </xf>
    <xf xfId="0" numFmtId="0" borderId="6" applyBorder="1" fontId="35" applyFont="1" fillId="5" applyFill="1" applyAlignment="1">
      <alignment horizontal="left"/>
    </xf>
    <xf xfId="0" numFmtId="0" borderId="14" applyBorder="1" fontId="35" applyFont="1" fillId="2" applyFill="1" applyAlignment="1">
      <alignment horizontal="right"/>
    </xf>
    <xf xfId="0" numFmtId="0" borderId="16" applyBorder="1" fontId="1" applyFont="1" fillId="29" applyFill="1" applyAlignment="1">
      <alignment horizontal="left"/>
    </xf>
    <xf xfId="0" numFmtId="0" borderId="13" applyBorder="1" fontId="1" applyFont="1" fillId="29" applyFill="1" applyAlignment="1">
      <alignment horizontal="left"/>
    </xf>
    <xf xfId="0" numFmtId="0" borderId="61" applyBorder="1" fontId="1" applyFont="1" fillId="0" applyAlignment="1">
      <alignment horizontal="right"/>
    </xf>
    <xf xfId="0" numFmtId="0" borderId="40" applyBorder="1" fontId="1" applyFont="1" fillId="0" applyAlignment="1">
      <alignment horizontal="right"/>
    </xf>
    <xf xfId="0" numFmtId="0" borderId="23" applyBorder="1" fontId="1" applyFont="1" fillId="29" applyFill="1" applyAlignment="1">
      <alignment horizontal="left"/>
    </xf>
    <xf xfId="0" numFmtId="0" borderId="24" applyBorder="1" fontId="1" applyFont="1" fillId="7" applyFill="1" applyAlignment="1">
      <alignment horizontal="left"/>
    </xf>
    <xf xfId="0" numFmtId="0" borderId="1" applyBorder="1" fontId="42" applyFont="1" fillId="0" applyAlignment="1">
      <alignment horizontal="right"/>
    </xf>
    <xf xfId="0" numFmtId="0" borderId="38" applyBorder="1" fontId="37" applyFont="1" fillId="7" applyFill="1" applyAlignment="1">
      <alignment horizontal="left"/>
    </xf>
    <xf xfId="0" numFmtId="0" borderId="38" applyBorder="1" fontId="3" applyFont="1" fillId="5" applyFill="1" applyAlignment="1">
      <alignment horizontal="left"/>
    </xf>
    <xf xfId="0" numFmtId="0" borderId="38" applyBorder="1" fontId="43" applyFont="1" fillId="5" applyFill="1" applyAlignment="1">
      <alignment horizontal="left"/>
    </xf>
    <xf xfId="0" numFmtId="0" borderId="62" applyBorder="1" fontId="44" applyFont="1" fillId="5" applyFill="1" applyAlignment="1">
      <alignment horizontal="left"/>
    </xf>
    <xf xfId="0" numFmtId="0" borderId="35" applyBorder="1" fontId="1" applyFont="1" fillId="4" applyFill="1" applyAlignment="1">
      <alignment horizontal="left"/>
    </xf>
    <xf xfId="0" numFmtId="0" borderId="54" applyBorder="1" fontId="1" applyFont="1" fillId="4" applyFill="1" applyAlignment="1">
      <alignment horizontal="left"/>
    </xf>
    <xf xfId="0" numFmtId="0" borderId="15" applyBorder="1" fontId="1" applyFont="1" fillId="4" applyFill="1" applyAlignment="1">
      <alignment horizontal="left"/>
    </xf>
    <xf xfId="0" numFmtId="0" borderId="35" applyBorder="1" fontId="42" applyFont="1" fillId="7" applyFill="1" applyAlignment="1">
      <alignment horizontal="left"/>
    </xf>
    <xf xfId="0" numFmtId="0" borderId="54" applyBorder="1" fontId="42" applyFont="1" fillId="7" applyFill="1" applyAlignment="1">
      <alignment horizontal="left"/>
    </xf>
    <xf xfId="0" numFmtId="0" borderId="15" applyBorder="1" fontId="42" applyFont="1" fillId="7" applyFill="1" applyAlignment="1">
      <alignment horizontal="left"/>
    </xf>
    <xf xfId="0" numFmtId="0" borderId="16" applyBorder="1" fontId="1" applyFont="1" fillId="7" applyFill="1" applyAlignment="1">
      <alignment horizontal="left" wrapText="1"/>
    </xf>
    <xf xfId="0" numFmtId="0" borderId="0" fontId="0" fillId="0" applyAlignment="1">
      <alignment wrapText="1"/>
    </xf>
    <xf xfId="0" numFmtId="0" borderId="35" applyBorder="1" fontId="1" applyFont="1" fillId="4" applyFill="1" applyAlignment="1">
      <alignment horizontal="left" wrapText="1"/>
    </xf>
    <xf xfId="0" numFmtId="0" borderId="54" applyBorder="1" fontId="1" applyFont="1" fillId="4" applyFill="1" applyAlignment="1">
      <alignment horizontal="left" wrapText="1"/>
    </xf>
    <xf xfId="0" numFmtId="0" borderId="15" applyBorder="1" fontId="1" applyFont="1" fillId="4" applyFill="1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388" width="59.29071428571429" customWidth="1" bestFit="1"/>
    <col min="2" max="2" style="388" width="7.719285714285714" customWidth="1" bestFit="1"/>
    <col min="3" max="3" style="388" width="7.719285714285714" customWidth="1" bestFit="1"/>
    <col min="4" max="4" style="388" width="7.719285714285714" customWidth="1" bestFit="1"/>
    <col min="5" max="5" style="388" width="7.719285714285714" customWidth="1" bestFit="1"/>
    <col min="6" max="6" style="388" width="7.719285714285714" customWidth="1" bestFit="1"/>
    <col min="7" max="7" style="388" width="7.719285714285714" customWidth="1" bestFit="1"/>
    <col min="8" max="8" style="388" width="7.719285714285714" customWidth="1" bestFit="1"/>
    <col min="9" max="9" style="176" width="8.005" customWidth="1" bestFit="1"/>
    <col min="10" max="10" style="176" width="38.71928571428572" customWidth="1" bestFit="1"/>
    <col min="11" max="11" style="176" width="38.71928571428572" customWidth="1" bestFit="1"/>
    <col min="12" max="12" style="176" width="38.71928571428572" customWidth="1" bestFit="1"/>
  </cols>
  <sheetData>
    <row x14ac:dyDescent="0.25" r="1" customHeight="1" ht="30">
      <c r="A1" s="306" t="s">
        <v>224</v>
      </c>
      <c r="B1" s="309"/>
      <c r="C1" s="309"/>
      <c r="D1" s="309"/>
      <c r="E1" s="309"/>
      <c r="F1" s="309"/>
      <c r="G1" s="309"/>
      <c r="H1" s="309"/>
      <c r="I1" s="4"/>
      <c r="J1" s="347"/>
      <c r="K1" s="347"/>
      <c r="L1" s="347"/>
    </row>
    <row x14ac:dyDescent="0.25" r="2" customHeight="1" ht="20.25">
      <c r="A2" s="333" t="s">
        <v>195</v>
      </c>
      <c r="B2" s="334"/>
      <c r="C2" s="335"/>
      <c r="D2" s="335"/>
      <c r="E2" s="335"/>
      <c r="F2" s="335"/>
      <c r="G2" s="335"/>
      <c r="H2" s="348"/>
      <c r="I2" s="4"/>
      <c r="J2" s="347"/>
      <c r="K2" s="347"/>
      <c r="L2" s="347"/>
    </row>
    <row x14ac:dyDescent="0.25" r="3" customHeight="1" ht="27.75">
      <c r="A3" s="349" t="s">
        <v>225</v>
      </c>
      <c r="B3" s="340" t="s">
        <v>197</v>
      </c>
      <c r="C3" s="340" t="s">
        <v>198</v>
      </c>
      <c r="D3" s="340" t="s">
        <v>199</v>
      </c>
      <c r="E3" s="340" t="s">
        <v>198</v>
      </c>
      <c r="F3" s="340" t="s">
        <v>200</v>
      </c>
      <c r="G3" s="340" t="s">
        <v>201</v>
      </c>
      <c r="H3" s="341" t="s">
        <v>201</v>
      </c>
      <c r="I3" s="4"/>
      <c r="J3" s="350" t="s">
        <v>226</v>
      </c>
      <c r="K3" s="350" t="s">
        <v>227</v>
      </c>
      <c r="L3" s="350" t="s">
        <v>228</v>
      </c>
    </row>
    <row x14ac:dyDescent="0.25" r="4" customHeight="1" ht="27.75">
      <c r="A4" s="351" t="s">
        <v>229</v>
      </c>
      <c r="B4" s="328"/>
      <c r="C4" s="328"/>
      <c r="D4" s="328"/>
      <c r="E4" s="328"/>
      <c r="F4" s="328"/>
      <c r="G4" s="328"/>
      <c r="H4" s="352"/>
      <c r="I4" s="1"/>
      <c r="J4" s="4"/>
      <c r="K4" s="4"/>
      <c r="L4" s="4"/>
    </row>
    <row x14ac:dyDescent="0.25" r="5" customHeight="1" ht="27.75">
      <c r="A5" s="353" t="s">
        <v>230</v>
      </c>
      <c r="B5" s="328"/>
      <c r="C5" s="328"/>
      <c r="D5" s="328"/>
      <c r="E5" s="328"/>
      <c r="F5" s="328"/>
      <c r="G5" s="328"/>
      <c r="H5" s="352"/>
      <c r="I5" s="4"/>
      <c r="J5" s="4"/>
      <c r="K5" s="4"/>
      <c r="L5" s="4"/>
    </row>
    <row x14ac:dyDescent="0.25" r="6" customHeight="1" ht="27.75">
      <c r="A6" s="351" t="s">
        <v>231</v>
      </c>
      <c r="B6" s="328"/>
      <c r="C6" s="328"/>
      <c r="D6" s="328"/>
      <c r="E6" s="328"/>
      <c r="F6" s="328"/>
      <c r="G6" s="328"/>
      <c r="H6" s="354"/>
      <c r="I6" s="4"/>
      <c r="J6" s="4"/>
      <c r="K6" s="4"/>
      <c r="L6" s="4"/>
    </row>
    <row x14ac:dyDescent="0.25" r="7" customHeight="1" ht="18.75" hidden="1">
      <c r="A7" s="351" t="s">
        <v>232</v>
      </c>
      <c r="B7" s="328"/>
      <c r="C7" s="328"/>
      <c r="D7" s="328"/>
      <c r="E7" s="328"/>
      <c r="F7" s="328"/>
      <c r="G7" s="328"/>
      <c r="H7" s="354"/>
      <c r="I7" s="4"/>
      <c r="J7" s="4"/>
      <c r="K7" s="4"/>
      <c r="L7" s="4"/>
    </row>
    <row x14ac:dyDescent="0.25" r="8" customHeight="1" ht="18.75" hidden="1">
      <c r="A8" s="351" t="s">
        <v>233</v>
      </c>
      <c r="B8" s="328"/>
      <c r="C8" s="328"/>
      <c r="D8" s="328"/>
      <c r="E8" s="328"/>
      <c r="F8" s="328"/>
      <c r="G8" s="328"/>
      <c r="H8" s="354"/>
      <c r="I8" s="4"/>
      <c r="J8" s="4"/>
      <c r="K8" s="4"/>
      <c r="L8" s="4"/>
    </row>
    <row x14ac:dyDescent="0.25" r="9" customHeight="1" ht="27.75">
      <c r="A9" s="351" t="s">
        <v>234</v>
      </c>
      <c r="B9" s="328"/>
      <c r="C9" s="328"/>
      <c r="D9" s="328"/>
      <c r="E9" s="328"/>
      <c r="F9" s="328"/>
      <c r="G9" s="328"/>
      <c r="H9" s="354"/>
      <c r="I9" s="4"/>
      <c r="J9" s="4"/>
      <c r="K9" s="4"/>
      <c r="L9" s="4"/>
    </row>
    <row x14ac:dyDescent="0.25" r="10" customHeight="1" ht="27.75">
      <c r="A10" s="351" t="s">
        <v>235</v>
      </c>
      <c r="B10" s="328"/>
      <c r="C10" s="328"/>
      <c r="D10" s="328"/>
      <c r="E10" s="328"/>
      <c r="F10" s="328"/>
      <c r="G10" s="328"/>
      <c r="H10" s="354"/>
      <c r="I10" s="1"/>
      <c r="J10" s="4"/>
      <c r="K10" s="4"/>
      <c r="L10" s="4"/>
    </row>
    <row x14ac:dyDescent="0.25" r="11" customHeight="1" ht="27.75">
      <c r="A11" s="351" t="s">
        <v>236</v>
      </c>
      <c r="B11" s="328"/>
      <c r="C11" s="328"/>
      <c r="D11" s="328"/>
      <c r="E11" s="328"/>
      <c r="F11" s="328"/>
      <c r="G11" s="328"/>
      <c r="H11" s="354"/>
      <c r="I11" s="4"/>
      <c r="J11" s="4"/>
      <c r="K11" s="4"/>
      <c r="L11" s="4"/>
    </row>
    <row x14ac:dyDescent="0.25" r="12" customHeight="1" ht="27.75">
      <c r="A12" s="351" t="s">
        <v>237</v>
      </c>
      <c r="B12" s="328"/>
      <c r="C12" s="328"/>
      <c r="D12" s="328"/>
      <c r="E12" s="328"/>
      <c r="F12" s="328"/>
      <c r="G12" s="328"/>
      <c r="H12" s="354"/>
      <c r="I12" s="4"/>
      <c r="J12" s="4"/>
      <c r="K12" s="4"/>
      <c r="L12" s="4"/>
    </row>
    <row x14ac:dyDescent="0.25" r="13" customHeight="1" ht="27.75">
      <c r="A13" s="351" t="s">
        <v>238</v>
      </c>
      <c r="B13" s="328"/>
      <c r="C13" s="328"/>
      <c r="D13" s="355"/>
      <c r="E13" s="355"/>
      <c r="F13" s="355"/>
      <c r="G13" s="355"/>
      <c r="H13" s="356"/>
      <c r="I13" s="4"/>
      <c r="J13" s="4"/>
      <c r="K13" s="4"/>
      <c r="L13" s="4"/>
    </row>
    <row x14ac:dyDescent="0.25" r="14" customHeight="1" ht="27.75">
      <c r="A14" s="351" t="s">
        <v>239</v>
      </c>
      <c r="B14" s="328"/>
      <c r="C14" s="328"/>
      <c r="D14" s="328"/>
      <c r="E14" s="328"/>
      <c r="F14" s="328"/>
      <c r="G14" s="328"/>
      <c r="H14" s="354"/>
      <c r="I14" s="4"/>
      <c r="J14" s="4"/>
      <c r="K14" s="4"/>
      <c r="L14" s="4"/>
    </row>
    <row x14ac:dyDescent="0.25" r="15" customHeight="1" ht="27.75">
      <c r="A15" s="351" t="s">
        <v>240</v>
      </c>
      <c r="B15" s="328"/>
      <c r="C15" s="328"/>
      <c r="D15" s="328"/>
      <c r="E15" s="328"/>
      <c r="F15" s="328"/>
      <c r="G15" s="328"/>
      <c r="H15" s="354"/>
      <c r="I15" s="4"/>
      <c r="J15" s="4"/>
      <c r="K15" s="4"/>
      <c r="L15" s="4"/>
    </row>
    <row x14ac:dyDescent="0.25" r="16" customHeight="1" ht="27.75">
      <c r="A16" s="351" t="s">
        <v>241</v>
      </c>
      <c r="B16" s="328"/>
      <c r="C16" s="328"/>
      <c r="D16" s="328"/>
      <c r="E16" s="328"/>
      <c r="F16" s="328"/>
      <c r="G16" s="328"/>
      <c r="H16" s="354"/>
      <c r="I16" s="4"/>
      <c r="J16" s="4"/>
      <c r="K16" s="4"/>
      <c r="L16" s="4"/>
    </row>
    <row x14ac:dyDescent="0.25" r="17" customHeight="1" ht="18.75" hidden="1">
      <c r="A17" s="351" t="s">
        <v>242</v>
      </c>
      <c r="B17" s="328"/>
      <c r="C17" s="328"/>
      <c r="D17" s="328"/>
      <c r="E17" s="328"/>
      <c r="F17" s="328"/>
      <c r="G17" s="328"/>
      <c r="H17" s="354"/>
      <c r="I17" s="4"/>
      <c r="J17" s="4"/>
      <c r="K17" s="4"/>
      <c r="L17" s="4"/>
    </row>
    <row x14ac:dyDescent="0.25" r="18" customHeight="1" ht="27.75">
      <c r="A18" s="357" t="s">
        <v>243</v>
      </c>
      <c r="B18" s="340" t="s">
        <v>197</v>
      </c>
      <c r="C18" s="340" t="s">
        <v>198</v>
      </c>
      <c r="D18" s="340" t="s">
        <v>199</v>
      </c>
      <c r="E18" s="340" t="s">
        <v>198</v>
      </c>
      <c r="F18" s="340" t="s">
        <v>200</v>
      </c>
      <c r="G18" s="340" t="s">
        <v>201</v>
      </c>
      <c r="H18" s="341" t="s">
        <v>201</v>
      </c>
      <c r="I18" s="4"/>
      <c r="J18" s="4"/>
      <c r="K18" s="4"/>
      <c r="L18" s="4"/>
    </row>
    <row x14ac:dyDescent="0.25" r="19" customHeight="1" ht="18.75" hidden="1">
      <c r="A19" s="351" t="s">
        <v>244</v>
      </c>
      <c r="B19" s="328"/>
      <c r="C19" s="328"/>
      <c r="D19" s="328"/>
      <c r="E19" s="328"/>
      <c r="F19" s="328"/>
      <c r="G19" s="328"/>
      <c r="H19" s="354"/>
      <c r="I19" s="4"/>
      <c r="J19" s="4"/>
      <c r="K19" s="4"/>
      <c r="L19" s="4"/>
    </row>
    <row x14ac:dyDescent="0.25" r="20" customHeight="1" ht="27.75">
      <c r="A20" s="351" t="s">
        <v>245</v>
      </c>
      <c r="B20" s="328"/>
      <c r="C20" s="328"/>
      <c r="D20" s="328"/>
      <c r="E20" s="328"/>
      <c r="F20" s="328"/>
      <c r="G20" s="328"/>
      <c r="H20" s="354"/>
      <c r="I20" s="4"/>
      <c r="J20" s="4"/>
      <c r="K20" s="4"/>
      <c r="L20" s="4"/>
    </row>
    <row x14ac:dyDescent="0.25" r="21" customHeight="1" ht="27.75">
      <c r="A21" s="351" t="s">
        <v>246</v>
      </c>
      <c r="B21" s="328"/>
      <c r="C21" s="328"/>
      <c r="D21" s="328"/>
      <c r="E21" s="328"/>
      <c r="F21" s="328"/>
      <c r="G21" s="328"/>
      <c r="H21" s="354"/>
      <c r="I21" s="4"/>
      <c r="J21" s="4"/>
      <c r="K21" s="4"/>
      <c r="L21" s="4"/>
    </row>
    <row x14ac:dyDescent="0.25" r="22" customHeight="1" ht="27.75">
      <c r="A22" s="351" t="s">
        <v>247</v>
      </c>
      <c r="B22" s="358"/>
      <c r="C22" s="358"/>
      <c r="D22" s="358"/>
      <c r="E22" s="358"/>
      <c r="F22" s="358"/>
      <c r="G22" s="359"/>
      <c r="H22" s="360"/>
      <c r="I22" s="4"/>
      <c r="J22" s="4"/>
      <c r="K22" s="4"/>
      <c r="L22" s="4"/>
    </row>
    <row x14ac:dyDescent="0.25" r="23" customHeight="1" ht="27.75">
      <c r="A23" s="357" t="s">
        <v>248</v>
      </c>
      <c r="B23" s="340" t="s">
        <v>197</v>
      </c>
      <c r="C23" s="340" t="s">
        <v>198</v>
      </c>
      <c r="D23" s="340" t="s">
        <v>199</v>
      </c>
      <c r="E23" s="340" t="s">
        <v>198</v>
      </c>
      <c r="F23" s="340" t="s">
        <v>200</v>
      </c>
      <c r="G23" s="340" t="s">
        <v>201</v>
      </c>
      <c r="H23" s="341" t="s">
        <v>201</v>
      </c>
      <c r="I23" s="4"/>
      <c r="J23" s="4"/>
      <c r="K23" s="4"/>
      <c r="L23" s="4"/>
    </row>
    <row x14ac:dyDescent="0.25" r="24" customHeight="1" ht="27.75">
      <c r="A24" s="342" t="s">
        <v>202</v>
      </c>
      <c r="B24" s="343"/>
      <c r="C24" s="343"/>
      <c r="D24" s="343"/>
      <c r="E24" s="343"/>
      <c r="F24" s="343"/>
      <c r="G24" s="343"/>
      <c r="H24" s="343"/>
      <c r="I24" s="4"/>
      <c r="J24" s="4"/>
      <c r="K24" s="4"/>
      <c r="L24" s="4"/>
    </row>
    <row x14ac:dyDescent="0.25" r="25" customHeight="1" ht="18.75" hidden="1">
      <c r="A25" s="342" t="s">
        <v>203</v>
      </c>
      <c r="B25" s="343"/>
      <c r="C25" s="343"/>
      <c r="D25" s="343"/>
      <c r="E25" s="343"/>
      <c r="F25" s="343"/>
      <c r="G25" s="343"/>
      <c r="H25" s="343"/>
      <c r="I25" s="4"/>
      <c r="J25" s="4"/>
      <c r="K25" s="4"/>
      <c r="L25" s="4"/>
    </row>
    <row x14ac:dyDescent="0.25" r="26" customHeight="1" ht="18.75" hidden="1">
      <c r="A26" s="342" t="s">
        <v>204</v>
      </c>
      <c r="B26" s="343"/>
      <c r="C26" s="343"/>
      <c r="D26" s="343"/>
      <c r="E26" s="343"/>
      <c r="F26" s="343"/>
      <c r="G26" s="343"/>
      <c r="H26" s="343"/>
      <c r="I26" s="4"/>
      <c r="J26" s="4"/>
      <c r="K26" s="4"/>
      <c r="L26" s="4"/>
    </row>
    <row x14ac:dyDescent="0.25" r="27" customHeight="1" ht="33">
      <c r="A27" s="342" t="s">
        <v>205</v>
      </c>
      <c r="B27" s="343"/>
      <c r="C27" s="343"/>
      <c r="D27" s="343"/>
      <c r="E27" s="343"/>
      <c r="F27" s="343"/>
      <c r="G27" s="343"/>
      <c r="H27" s="343"/>
      <c r="I27" s="4"/>
      <c r="J27" s="4"/>
      <c r="K27" s="4"/>
      <c r="L27" s="4"/>
    </row>
    <row x14ac:dyDescent="0.25" r="28" customHeight="1" ht="27.75">
      <c r="A28" s="342" t="s">
        <v>206</v>
      </c>
      <c r="B28" s="343"/>
      <c r="C28" s="343"/>
      <c r="D28" s="343"/>
      <c r="E28" s="343"/>
      <c r="F28" s="343"/>
      <c r="G28" s="343"/>
      <c r="H28" s="343"/>
      <c r="I28" s="4"/>
      <c r="J28" s="4"/>
      <c r="K28" s="4"/>
      <c r="L28" s="4"/>
    </row>
    <row x14ac:dyDescent="0.25" r="29" customHeight="1" ht="18.75" hidden="1">
      <c r="A29" s="344" t="s">
        <v>207</v>
      </c>
      <c r="B29" s="343"/>
      <c r="C29" s="343"/>
      <c r="D29" s="343"/>
      <c r="E29" s="343"/>
      <c r="F29" s="343"/>
      <c r="G29" s="343"/>
      <c r="H29" s="343"/>
      <c r="I29" s="4"/>
      <c r="J29" s="4"/>
      <c r="K29" s="4"/>
      <c r="L29" s="4"/>
    </row>
    <row x14ac:dyDescent="0.25" r="30" customHeight="1" ht="27.75">
      <c r="A30" s="344" t="s">
        <v>208</v>
      </c>
      <c r="B30" s="343"/>
      <c r="C30" s="343"/>
      <c r="D30" s="343"/>
      <c r="E30" s="343"/>
      <c r="F30" s="343"/>
      <c r="G30" s="343"/>
      <c r="H30" s="343"/>
      <c r="I30" s="4"/>
      <c r="J30" s="4"/>
      <c r="K30" s="4"/>
      <c r="L30" s="4"/>
    </row>
    <row x14ac:dyDescent="0.25" r="31" customHeight="1" ht="27.75">
      <c r="A31" s="342" t="s">
        <v>209</v>
      </c>
      <c r="B31" s="345"/>
      <c r="C31" s="345"/>
      <c r="D31" s="345"/>
      <c r="E31" s="345"/>
      <c r="F31" s="345"/>
      <c r="G31" s="345"/>
      <c r="H31" s="343"/>
      <c r="I31" s="4"/>
      <c r="J31" s="4"/>
      <c r="K31" s="4"/>
      <c r="L31" s="4"/>
    </row>
    <row x14ac:dyDescent="0.25" r="32" customHeight="1" ht="27.75">
      <c r="A32" s="342" t="s">
        <v>210</v>
      </c>
      <c r="B32" s="345"/>
      <c r="C32" s="345"/>
      <c r="D32" s="345"/>
      <c r="E32" s="345"/>
      <c r="F32" s="345"/>
      <c r="G32" s="345"/>
      <c r="H32" s="343"/>
      <c r="I32" s="4"/>
      <c r="J32" s="4"/>
      <c r="K32" s="4"/>
      <c r="L32" s="4"/>
    </row>
    <row x14ac:dyDescent="0.25" r="33" customHeight="1" ht="27.75">
      <c r="A33" s="361" t="s">
        <v>249</v>
      </c>
      <c r="B33" s="328"/>
      <c r="C33" s="328"/>
      <c r="D33" s="328"/>
      <c r="E33" s="328"/>
      <c r="F33" s="328"/>
      <c r="G33" s="328"/>
      <c r="H33" s="354"/>
      <c r="I33" s="4"/>
      <c r="J33" s="4"/>
      <c r="K33" s="4"/>
      <c r="L33" s="4"/>
    </row>
    <row x14ac:dyDescent="0.25" r="34" customHeight="1" ht="27.75">
      <c r="A34" s="351" t="s">
        <v>250</v>
      </c>
      <c r="B34" s="328"/>
      <c r="C34" s="328"/>
      <c r="D34" s="328"/>
      <c r="E34" s="328"/>
      <c r="F34" s="328"/>
      <c r="G34" s="328"/>
      <c r="H34" s="354"/>
      <c r="I34" s="4"/>
      <c r="J34" s="4"/>
      <c r="K34" s="4"/>
      <c r="L34" s="4"/>
    </row>
    <row x14ac:dyDescent="0.25" r="35" customHeight="1" ht="27.75">
      <c r="A35" s="351" t="s">
        <v>251</v>
      </c>
      <c r="B35" s="328"/>
      <c r="C35" s="328"/>
      <c r="D35" s="328"/>
      <c r="E35" s="328"/>
      <c r="F35" s="328"/>
      <c r="G35" s="328"/>
      <c r="H35" s="354"/>
      <c r="I35" s="4"/>
      <c r="J35" s="4"/>
      <c r="K35" s="4"/>
      <c r="L35" s="4"/>
    </row>
    <row x14ac:dyDescent="0.25" r="36" customHeight="1" ht="27.75">
      <c r="A36" s="351" t="s">
        <v>252</v>
      </c>
      <c r="B36" s="328"/>
      <c r="C36" s="328"/>
      <c r="D36" s="328"/>
      <c r="E36" s="328"/>
      <c r="F36" s="328"/>
      <c r="G36" s="328"/>
      <c r="H36" s="354"/>
      <c r="I36" s="4"/>
      <c r="J36" s="4"/>
      <c r="K36" s="4"/>
      <c r="L36" s="4"/>
    </row>
    <row x14ac:dyDescent="0.25" r="37" customHeight="1" ht="27.75">
      <c r="A37" s="351" t="s">
        <v>253</v>
      </c>
      <c r="B37" s="328"/>
      <c r="C37" s="328"/>
      <c r="D37" s="328"/>
      <c r="E37" s="328"/>
      <c r="F37" s="328"/>
      <c r="G37" s="328"/>
      <c r="H37" s="354"/>
      <c r="I37" s="4"/>
      <c r="J37" s="4"/>
      <c r="K37" s="4"/>
      <c r="L37" s="4"/>
    </row>
    <row x14ac:dyDescent="0.25" r="38" customHeight="1" ht="27.75">
      <c r="A38" s="351" t="s">
        <v>254</v>
      </c>
      <c r="B38" s="328"/>
      <c r="C38" s="328"/>
      <c r="D38" s="328"/>
      <c r="E38" s="328"/>
      <c r="F38" s="328"/>
      <c r="G38" s="328"/>
      <c r="H38" s="354"/>
      <c r="I38" s="1"/>
      <c r="J38" s="4"/>
      <c r="K38" s="4"/>
      <c r="L38" s="4"/>
    </row>
    <row x14ac:dyDescent="0.25" r="39" customHeight="1" ht="18.75" hidden="1">
      <c r="A39" s="351" t="s">
        <v>255</v>
      </c>
      <c r="B39" s="328"/>
      <c r="C39" s="328"/>
      <c r="D39" s="328"/>
      <c r="E39" s="328"/>
      <c r="F39" s="328"/>
      <c r="G39" s="328"/>
      <c r="H39" s="354"/>
      <c r="I39" s="4"/>
      <c r="J39" s="4"/>
      <c r="K39" s="4"/>
      <c r="L39" s="4"/>
    </row>
    <row x14ac:dyDescent="0.25" r="40" customHeight="1" ht="27.75">
      <c r="A40" s="351" t="s">
        <v>256</v>
      </c>
      <c r="B40" s="328"/>
      <c r="C40" s="328"/>
      <c r="D40" s="328"/>
      <c r="E40" s="328"/>
      <c r="F40" s="328"/>
      <c r="G40" s="328"/>
      <c r="H40" s="354"/>
      <c r="I40" s="4"/>
      <c r="J40" s="4"/>
      <c r="K40" s="4"/>
      <c r="L40" s="4"/>
    </row>
    <row x14ac:dyDescent="0.25" r="41" customHeight="1" ht="15">
      <c r="A41" s="362" t="s">
        <v>257</v>
      </c>
      <c r="B41" s="363"/>
      <c r="C41" s="363"/>
      <c r="D41" s="363"/>
      <c r="E41" s="363"/>
      <c r="F41" s="363"/>
      <c r="G41" s="363"/>
      <c r="H41" s="364"/>
      <c r="I41" s="4"/>
      <c r="J41" s="4"/>
      <c r="K41" s="4"/>
      <c r="L41" s="4"/>
    </row>
    <row x14ac:dyDescent="0.25" r="42" customHeight="1" ht="15">
      <c r="A42" s="365" t="s">
        <v>258</v>
      </c>
      <c r="B42" s="340" t="s">
        <v>197</v>
      </c>
      <c r="C42" s="340" t="s">
        <v>198</v>
      </c>
      <c r="D42" s="340" t="s">
        <v>199</v>
      </c>
      <c r="E42" s="340" t="s">
        <v>198</v>
      </c>
      <c r="F42" s="340" t="s">
        <v>200</v>
      </c>
      <c r="G42" s="340" t="s">
        <v>201</v>
      </c>
      <c r="H42" s="341" t="s">
        <v>201</v>
      </c>
      <c r="I42" s="4"/>
      <c r="J42" s="4"/>
      <c r="K42" s="4"/>
      <c r="L42" s="4"/>
    </row>
    <row x14ac:dyDescent="0.25" r="43" customHeight="1" ht="15">
      <c r="A43" s="351" t="s">
        <v>259</v>
      </c>
      <c r="B43" s="358"/>
      <c r="C43" s="358"/>
      <c r="D43" s="358"/>
      <c r="E43" s="358"/>
      <c r="F43" s="366"/>
      <c r="G43" s="366"/>
      <c r="H43" s="366"/>
      <c r="I43" s="4"/>
      <c r="J43" s="4"/>
      <c r="K43" s="4"/>
      <c r="L43" s="4"/>
    </row>
    <row x14ac:dyDescent="0.25" r="44" customHeight="1" ht="15">
      <c r="A44" s="351" t="s">
        <v>260</v>
      </c>
      <c r="B44" s="358"/>
      <c r="C44" s="366"/>
      <c r="D44" s="366"/>
      <c r="E44" s="366"/>
      <c r="F44" s="366"/>
      <c r="G44" s="366"/>
      <c r="H44" s="367"/>
      <c r="I44" s="4"/>
      <c r="J44" s="4"/>
      <c r="K44" s="4"/>
      <c r="L44" s="4"/>
    </row>
    <row x14ac:dyDescent="0.25" r="45" customHeight="1" ht="15">
      <c r="A45" s="351" t="s">
        <v>261</v>
      </c>
      <c r="B45" s="358"/>
      <c r="C45" s="358"/>
      <c r="D45" s="358"/>
      <c r="E45" s="358"/>
      <c r="F45" s="358"/>
      <c r="G45" s="366"/>
      <c r="H45" s="367"/>
      <c r="I45" s="4"/>
      <c r="J45" s="4"/>
      <c r="K45" s="4"/>
      <c r="L45" s="4"/>
    </row>
    <row x14ac:dyDescent="0.25" r="46" customHeight="1" ht="15">
      <c r="A46" s="351" t="s">
        <v>262</v>
      </c>
      <c r="B46" s="358"/>
      <c r="C46" s="358"/>
      <c r="D46" s="358"/>
      <c r="E46" s="358"/>
      <c r="F46" s="358"/>
      <c r="G46" s="366"/>
      <c r="H46" s="367"/>
      <c r="I46" s="4"/>
      <c r="J46" s="4"/>
      <c r="K46" s="4"/>
      <c r="L46" s="4"/>
    </row>
    <row x14ac:dyDescent="0.25" r="47" customHeight="1" ht="15">
      <c r="A47" s="365" t="s">
        <v>263</v>
      </c>
      <c r="B47" s="340" t="s">
        <v>197</v>
      </c>
      <c r="C47" s="340" t="s">
        <v>198</v>
      </c>
      <c r="D47" s="340" t="s">
        <v>199</v>
      </c>
      <c r="E47" s="340" t="s">
        <v>198</v>
      </c>
      <c r="F47" s="340" t="s">
        <v>200</v>
      </c>
      <c r="G47" s="340" t="s">
        <v>201</v>
      </c>
      <c r="H47" s="341" t="s">
        <v>201</v>
      </c>
      <c r="I47" s="4"/>
      <c r="J47" s="4"/>
      <c r="K47" s="4"/>
      <c r="L47" s="4"/>
    </row>
    <row x14ac:dyDescent="0.25" r="48" customHeight="1" ht="15">
      <c r="A48" s="351" t="s">
        <v>264</v>
      </c>
      <c r="B48" s="358"/>
      <c r="C48" s="358"/>
      <c r="D48" s="358"/>
      <c r="E48" s="358"/>
      <c r="F48" s="358"/>
      <c r="G48" s="358"/>
      <c r="H48" s="352"/>
      <c r="I48" s="4"/>
      <c r="J48" s="4"/>
      <c r="K48" s="4"/>
      <c r="L48" s="4"/>
    </row>
    <row x14ac:dyDescent="0.25" r="49" customHeight="1" ht="15">
      <c r="A49" s="351" t="s">
        <v>265</v>
      </c>
      <c r="B49" s="358"/>
      <c r="C49" s="358"/>
      <c r="D49" s="358"/>
      <c r="E49" s="358"/>
      <c r="F49" s="358"/>
      <c r="G49" s="358"/>
      <c r="H49" s="352"/>
      <c r="I49" s="4"/>
      <c r="J49" s="4"/>
      <c r="K49" s="4"/>
      <c r="L49" s="4"/>
    </row>
    <row x14ac:dyDescent="0.25" r="50" customHeight="1" ht="15">
      <c r="A50" s="353" t="s">
        <v>266</v>
      </c>
      <c r="B50" s="358"/>
      <c r="C50" s="366"/>
      <c r="D50" s="366"/>
      <c r="E50" s="366"/>
      <c r="F50" s="366"/>
      <c r="G50" s="366"/>
      <c r="H50" s="367"/>
      <c r="I50" s="4"/>
      <c r="J50" s="4"/>
      <c r="K50" s="4"/>
      <c r="L50" s="4"/>
    </row>
    <row x14ac:dyDescent="0.25" r="51" customHeight="1" ht="15">
      <c r="A51" s="365" t="s">
        <v>267</v>
      </c>
      <c r="B51" s="340" t="s">
        <v>197</v>
      </c>
      <c r="C51" s="340" t="s">
        <v>198</v>
      </c>
      <c r="D51" s="340" t="s">
        <v>199</v>
      </c>
      <c r="E51" s="340" t="s">
        <v>198</v>
      </c>
      <c r="F51" s="340" t="s">
        <v>200</v>
      </c>
      <c r="G51" s="340" t="s">
        <v>201</v>
      </c>
      <c r="H51" s="341" t="s">
        <v>201</v>
      </c>
      <c r="I51" s="4"/>
      <c r="J51" s="4"/>
      <c r="K51" s="4"/>
      <c r="L51" s="4"/>
    </row>
    <row x14ac:dyDescent="0.25" r="52" customHeight="1" ht="15">
      <c r="A52" s="351" t="s">
        <v>268</v>
      </c>
      <c r="B52" s="328"/>
      <c r="C52" s="366"/>
      <c r="D52" s="366"/>
      <c r="E52" s="366"/>
      <c r="F52" s="366"/>
      <c r="G52" s="366"/>
      <c r="H52" s="367"/>
      <c r="I52" s="4"/>
      <c r="J52" s="4"/>
      <c r="K52" s="4"/>
      <c r="L52" s="4"/>
    </row>
    <row x14ac:dyDescent="0.25" r="53" customHeight="1" ht="15">
      <c r="A53" s="365" t="s">
        <v>269</v>
      </c>
      <c r="B53" s="340" t="s">
        <v>197</v>
      </c>
      <c r="C53" s="340" t="s">
        <v>198</v>
      </c>
      <c r="D53" s="340" t="s">
        <v>199</v>
      </c>
      <c r="E53" s="340" t="s">
        <v>198</v>
      </c>
      <c r="F53" s="340" t="s">
        <v>200</v>
      </c>
      <c r="G53" s="340" t="s">
        <v>201</v>
      </c>
      <c r="H53" s="341" t="s">
        <v>201</v>
      </c>
      <c r="I53" s="4"/>
      <c r="J53" s="4"/>
      <c r="K53" s="4"/>
      <c r="L53" s="4"/>
    </row>
    <row x14ac:dyDescent="0.25" r="54" customHeight="1" ht="18.75" hidden="1">
      <c r="A54" s="351" t="s">
        <v>270</v>
      </c>
      <c r="B54" s="358"/>
      <c r="C54" s="366"/>
      <c r="D54" s="366"/>
      <c r="E54" s="366"/>
      <c r="F54" s="366"/>
      <c r="G54" s="366"/>
      <c r="H54" s="367"/>
      <c r="I54" s="4"/>
      <c r="J54" s="4"/>
      <c r="K54" s="4"/>
      <c r="L54" s="4"/>
    </row>
    <row x14ac:dyDescent="0.25" r="55" customHeight="1" ht="15">
      <c r="A55" s="351" t="s">
        <v>271</v>
      </c>
      <c r="B55" s="358"/>
      <c r="C55" s="366"/>
      <c r="D55" s="366"/>
      <c r="E55" s="366"/>
      <c r="F55" s="366"/>
      <c r="G55" s="366"/>
      <c r="H55" s="367"/>
      <c r="I55" s="4"/>
      <c r="J55" s="4"/>
      <c r="K55" s="4"/>
      <c r="L55" s="4"/>
    </row>
    <row x14ac:dyDescent="0.25" r="56" customHeight="1" ht="15">
      <c r="A56" s="365" t="s">
        <v>272</v>
      </c>
      <c r="B56" s="340" t="s">
        <v>197</v>
      </c>
      <c r="C56" s="340" t="s">
        <v>198</v>
      </c>
      <c r="D56" s="340" t="s">
        <v>199</v>
      </c>
      <c r="E56" s="340" t="s">
        <v>198</v>
      </c>
      <c r="F56" s="340" t="s">
        <v>200</v>
      </c>
      <c r="G56" s="340" t="s">
        <v>201</v>
      </c>
      <c r="H56" s="341" t="s">
        <v>201</v>
      </c>
      <c r="I56" s="4"/>
      <c r="J56" s="4"/>
      <c r="K56" s="4"/>
      <c r="L56" s="4"/>
    </row>
    <row x14ac:dyDescent="0.25" r="57" customHeight="1" ht="15">
      <c r="A57" s="351" t="s">
        <v>273</v>
      </c>
      <c r="B57" s="358"/>
      <c r="C57" s="366"/>
      <c r="D57" s="366"/>
      <c r="E57" s="366"/>
      <c r="F57" s="366"/>
      <c r="G57" s="366"/>
      <c r="H57" s="367"/>
      <c r="I57" s="4"/>
      <c r="J57" s="4"/>
      <c r="K57" s="4"/>
      <c r="L57" s="4"/>
    </row>
    <row x14ac:dyDescent="0.25" r="58" customHeight="1" ht="15">
      <c r="A58" s="368" t="s">
        <v>274</v>
      </c>
      <c r="B58" s="358"/>
      <c r="C58" s="366"/>
      <c r="D58" s="366"/>
      <c r="E58" s="366"/>
      <c r="F58" s="366"/>
      <c r="G58" s="366"/>
      <c r="H58" s="367"/>
      <c r="I58" s="4"/>
      <c r="J58" s="4"/>
      <c r="K58" s="4"/>
      <c r="L58" s="4"/>
    </row>
    <row x14ac:dyDescent="0.25" r="59" customHeight="1" ht="15">
      <c r="A59" s="365" t="s">
        <v>275</v>
      </c>
      <c r="B59" s="340" t="s">
        <v>197</v>
      </c>
      <c r="C59" s="340" t="s">
        <v>198</v>
      </c>
      <c r="D59" s="340" t="s">
        <v>199</v>
      </c>
      <c r="E59" s="340" t="s">
        <v>198</v>
      </c>
      <c r="F59" s="340" t="s">
        <v>200</v>
      </c>
      <c r="G59" s="340" t="s">
        <v>201</v>
      </c>
      <c r="H59" s="341" t="s">
        <v>201</v>
      </c>
      <c r="I59" s="4"/>
      <c r="J59" s="4"/>
      <c r="K59" s="4"/>
      <c r="L59" s="4"/>
    </row>
    <row x14ac:dyDescent="0.25" r="60" customHeight="1" ht="15">
      <c r="A60" s="351" t="s">
        <v>276</v>
      </c>
      <c r="B60" s="358"/>
      <c r="C60" s="366"/>
      <c r="D60" s="366"/>
      <c r="E60" s="366"/>
      <c r="F60" s="366"/>
      <c r="G60" s="366"/>
      <c r="H60" s="367"/>
      <c r="I60" s="4"/>
      <c r="J60" s="4"/>
      <c r="K60" s="4"/>
      <c r="L60" s="4"/>
    </row>
    <row x14ac:dyDescent="0.25" r="61" customHeight="1" ht="15">
      <c r="A61" s="369" t="s">
        <v>277</v>
      </c>
      <c r="B61" s="370"/>
      <c r="C61" s="370"/>
      <c r="D61" s="370"/>
      <c r="E61" s="370"/>
      <c r="F61" s="370"/>
      <c r="G61" s="370"/>
      <c r="H61" s="371"/>
      <c r="I61" s="4"/>
      <c r="J61" s="4"/>
      <c r="K61" s="4"/>
      <c r="L61" s="4"/>
    </row>
    <row x14ac:dyDescent="0.25" r="62" customHeight="1" ht="15">
      <c r="A62" s="365" t="s">
        <v>112</v>
      </c>
      <c r="B62" s="340" t="s">
        <v>197</v>
      </c>
      <c r="C62" s="340" t="s">
        <v>198</v>
      </c>
      <c r="D62" s="340" t="s">
        <v>199</v>
      </c>
      <c r="E62" s="340" t="s">
        <v>198</v>
      </c>
      <c r="F62" s="340" t="s">
        <v>200</v>
      </c>
      <c r="G62" s="340" t="s">
        <v>201</v>
      </c>
      <c r="H62" s="341" t="s">
        <v>201</v>
      </c>
      <c r="I62" s="4"/>
      <c r="J62" s="4"/>
      <c r="K62" s="4"/>
      <c r="L62" s="4"/>
    </row>
    <row x14ac:dyDescent="0.25" r="63" customHeight="1" ht="15">
      <c r="A63" s="351" t="s">
        <v>278</v>
      </c>
      <c r="B63" s="328"/>
      <c r="C63" s="328"/>
      <c r="D63" s="328"/>
      <c r="E63" s="328"/>
      <c r="F63" s="328"/>
      <c r="G63" s="328"/>
      <c r="H63" s="354"/>
      <c r="I63" s="4"/>
      <c r="J63" s="4"/>
      <c r="K63" s="4"/>
      <c r="L63" s="4"/>
    </row>
    <row x14ac:dyDescent="0.25" r="64" customHeight="1" ht="15">
      <c r="A64" s="365" t="s">
        <v>114</v>
      </c>
      <c r="B64" s="340" t="s">
        <v>197</v>
      </c>
      <c r="C64" s="340" t="s">
        <v>198</v>
      </c>
      <c r="D64" s="340" t="s">
        <v>199</v>
      </c>
      <c r="E64" s="340" t="s">
        <v>198</v>
      </c>
      <c r="F64" s="340" t="s">
        <v>200</v>
      </c>
      <c r="G64" s="340" t="s">
        <v>201</v>
      </c>
      <c r="H64" s="341" t="s">
        <v>201</v>
      </c>
      <c r="I64" s="4"/>
      <c r="J64" s="4"/>
      <c r="K64" s="4"/>
      <c r="L64" s="4"/>
    </row>
    <row x14ac:dyDescent="0.25" r="65" customHeight="1" ht="18.75">
      <c r="A65" s="351"/>
      <c r="B65" s="328"/>
      <c r="C65" s="328"/>
      <c r="D65" s="328"/>
      <c r="E65" s="328"/>
      <c r="F65" s="328"/>
      <c r="G65" s="328"/>
      <c r="H65" s="354"/>
      <c r="I65" s="4"/>
      <c r="J65" s="4"/>
      <c r="K65" s="4"/>
      <c r="L65" s="4"/>
    </row>
    <row x14ac:dyDescent="0.25" r="66" customHeight="1" ht="15">
      <c r="A66" s="365" t="s">
        <v>279</v>
      </c>
      <c r="B66" s="340" t="s">
        <v>197</v>
      </c>
      <c r="C66" s="340" t="s">
        <v>198</v>
      </c>
      <c r="D66" s="340" t="s">
        <v>199</v>
      </c>
      <c r="E66" s="340" t="s">
        <v>198</v>
      </c>
      <c r="F66" s="340" t="s">
        <v>200</v>
      </c>
      <c r="G66" s="340" t="s">
        <v>201</v>
      </c>
      <c r="H66" s="341" t="s">
        <v>201</v>
      </c>
      <c r="I66" s="4"/>
      <c r="J66" s="4"/>
      <c r="K66" s="4"/>
      <c r="L66" s="4"/>
    </row>
    <row x14ac:dyDescent="0.25" r="67" customHeight="1" ht="15">
      <c r="A67" s="351" t="s">
        <v>280</v>
      </c>
      <c r="B67" s="366"/>
      <c r="C67" s="328"/>
      <c r="D67" s="366"/>
      <c r="E67" s="366"/>
      <c r="F67" s="366"/>
      <c r="G67" s="366"/>
      <c r="H67" s="367"/>
      <c r="I67" s="4"/>
      <c r="J67" s="4"/>
      <c r="K67" s="4"/>
      <c r="L67" s="4"/>
    </row>
    <row x14ac:dyDescent="0.25" r="68" customHeight="1" ht="15">
      <c r="A68" s="351" t="s">
        <v>281</v>
      </c>
      <c r="B68" s="366"/>
      <c r="C68" s="366"/>
      <c r="D68" s="366"/>
      <c r="E68" s="328"/>
      <c r="F68" s="366"/>
      <c r="G68" s="366"/>
      <c r="H68" s="367"/>
      <c r="I68" s="4"/>
      <c r="J68" s="4"/>
      <c r="K68" s="4"/>
      <c r="L68" s="4"/>
    </row>
    <row x14ac:dyDescent="0.25" r="69" customHeight="1" ht="15">
      <c r="A69" s="351" t="s">
        <v>282</v>
      </c>
      <c r="B69" s="358"/>
      <c r="C69" s="358"/>
      <c r="D69" s="358"/>
      <c r="E69" s="358"/>
      <c r="F69" s="358"/>
      <c r="G69" s="358"/>
      <c r="H69" s="352"/>
      <c r="I69" s="4"/>
      <c r="J69" s="4"/>
      <c r="K69" s="4"/>
      <c r="L69" s="4"/>
    </row>
    <row x14ac:dyDescent="0.25" r="70" customHeight="1" ht="15">
      <c r="A70" s="351" t="s">
        <v>283</v>
      </c>
      <c r="B70" s="358"/>
      <c r="C70" s="366"/>
      <c r="D70" s="366"/>
      <c r="E70" s="366"/>
      <c r="F70" s="366"/>
      <c r="G70" s="366"/>
      <c r="H70" s="367"/>
      <c r="I70" s="4"/>
      <c r="J70" s="4"/>
      <c r="K70" s="4"/>
      <c r="L70" s="4"/>
    </row>
    <row x14ac:dyDescent="0.25" r="71" customHeight="1" ht="15">
      <c r="A71" s="372"/>
      <c r="B71" s="373"/>
      <c r="C71" s="373"/>
      <c r="D71" s="373"/>
      <c r="E71" s="373"/>
      <c r="F71" s="373"/>
      <c r="G71" s="373"/>
      <c r="H71" s="373"/>
      <c r="I71" s="4"/>
      <c r="J71" s="4"/>
      <c r="K71" s="4"/>
      <c r="L71" s="4"/>
    </row>
    <row x14ac:dyDescent="0.25" r="72" customHeight="1" ht="24">
      <c r="A72" s="374" t="s">
        <v>284</v>
      </c>
      <c r="B72" s="375"/>
      <c r="C72" s="375"/>
      <c r="D72" s="375"/>
      <c r="E72" s="375"/>
      <c r="F72" s="375"/>
      <c r="G72" s="375"/>
      <c r="H72" s="375"/>
      <c r="I72" s="4"/>
      <c r="J72" s="4"/>
      <c r="K72" s="4"/>
      <c r="L72" s="4"/>
    </row>
    <row x14ac:dyDescent="0.25" r="73" customHeight="1" ht="14.25">
      <c r="A73" s="376" t="s">
        <v>285</v>
      </c>
      <c r="B73" s="376"/>
      <c r="C73" s="376"/>
      <c r="D73" s="376"/>
      <c r="E73" s="376"/>
      <c r="F73" s="376"/>
      <c r="G73" s="376"/>
      <c r="H73" s="376"/>
      <c r="I73" s="4"/>
      <c r="J73" s="4"/>
      <c r="K73" s="4"/>
      <c r="L73" s="4"/>
    </row>
    <row x14ac:dyDescent="0.25" r="74" customHeight="1" ht="15">
      <c r="A74" s="377" t="s">
        <v>286</v>
      </c>
      <c r="B74" s="378"/>
      <c r="C74" s="378"/>
      <c r="D74" s="378"/>
      <c r="E74" s="378"/>
      <c r="F74" s="378"/>
      <c r="G74" s="378"/>
      <c r="H74" s="379"/>
      <c r="I74" s="4"/>
      <c r="J74" s="4"/>
      <c r="K74" s="4"/>
      <c r="L74" s="4"/>
    </row>
    <row x14ac:dyDescent="0.25" r="75" customHeight="1" ht="15">
      <c r="A75" s="358" t="s">
        <v>287</v>
      </c>
      <c r="B75" s="380" t="s">
        <v>288</v>
      </c>
      <c r="C75" s="381"/>
      <c r="D75" s="381"/>
      <c r="E75" s="381"/>
      <c r="F75" s="381"/>
      <c r="G75" s="381"/>
      <c r="H75" s="382"/>
      <c r="I75" s="4"/>
      <c r="J75" s="4"/>
      <c r="K75" s="4"/>
      <c r="L75" s="4"/>
    </row>
    <row x14ac:dyDescent="0.25" r="76" customHeight="1" ht="15">
      <c r="A76" s="383" t="s">
        <v>289</v>
      </c>
      <c r="B76" s="380" t="s">
        <v>288</v>
      </c>
      <c r="C76" s="381"/>
      <c r="D76" s="381"/>
      <c r="E76" s="381"/>
      <c r="F76" s="381"/>
      <c r="G76" s="381"/>
      <c r="H76" s="382"/>
      <c r="I76" s="4"/>
      <c r="J76" s="4"/>
      <c r="K76" s="4"/>
      <c r="L76" s="4"/>
    </row>
    <row x14ac:dyDescent="0.25" r="77" customHeight="1" ht="15">
      <c r="A77" s="383" t="s">
        <v>290</v>
      </c>
      <c r="B77" s="380" t="s">
        <v>288</v>
      </c>
      <c r="C77" s="381"/>
      <c r="D77" s="381"/>
      <c r="E77" s="381"/>
      <c r="F77" s="381"/>
      <c r="G77" s="381"/>
      <c r="H77" s="382"/>
      <c r="I77" s="4"/>
      <c r="J77" s="4"/>
      <c r="K77" s="4"/>
      <c r="L77" s="4"/>
    </row>
    <row x14ac:dyDescent="0.25" r="78" customHeight="1" ht="18.75">
      <c r="A78" s="377" t="s">
        <v>291</v>
      </c>
      <c r="B78" s="378"/>
      <c r="C78" s="378"/>
      <c r="D78" s="378"/>
      <c r="E78" s="378"/>
      <c r="F78" s="378"/>
      <c r="G78" s="378"/>
      <c r="H78" s="379"/>
      <c r="I78" s="4"/>
      <c r="J78" s="4"/>
      <c r="K78" s="4"/>
      <c r="L78" s="4"/>
    </row>
    <row x14ac:dyDescent="0.25" r="79" customHeight="1" ht="14.25">
      <c r="A79" s="358" t="s">
        <v>292</v>
      </c>
      <c r="B79" s="380" t="s">
        <v>288</v>
      </c>
      <c r="C79" s="381"/>
      <c r="D79" s="381"/>
      <c r="E79" s="381"/>
      <c r="F79" s="381"/>
      <c r="G79" s="381"/>
      <c r="H79" s="382"/>
      <c r="I79" s="4"/>
      <c r="J79" s="4"/>
      <c r="K79" s="4"/>
      <c r="L79" s="4"/>
    </row>
    <row x14ac:dyDescent="0.25" r="80" customHeight="1" ht="14.25">
      <c r="A80" s="358" t="s">
        <v>293</v>
      </c>
      <c r="B80" s="380" t="s">
        <v>288</v>
      </c>
      <c r="C80" s="381"/>
      <c r="D80" s="381"/>
      <c r="E80" s="381"/>
      <c r="F80" s="381"/>
      <c r="G80" s="381"/>
      <c r="H80" s="382"/>
      <c r="I80" s="4"/>
      <c r="J80" s="4"/>
      <c r="K80" s="4"/>
      <c r="L80" s="4"/>
    </row>
    <row x14ac:dyDescent="0.25" r="81" customHeight="1" ht="14.25">
      <c r="A81" s="358" t="s">
        <v>294</v>
      </c>
      <c r="B81" s="380" t="s">
        <v>288</v>
      </c>
      <c r="C81" s="381"/>
      <c r="D81" s="381"/>
      <c r="E81" s="381"/>
      <c r="F81" s="381"/>
      <c r="G81" s="381"/>
      <c r="H81" s="382"/>
      <c r="I81" s="4"/>
      <c r="J81" s="4"/>
      <c r="K81" s="4"/>
      <c r="L81" s="4"/>
    </row>
    <row x14ac:dyDescent="0.25" r="82" customHeight="1" ht="18.75" customFormat="1" s="384">
      <c r="A82" s="385" t="s">
        <v>295</v>
      </c>
      <c r="B82" s="386"/>
      <c r="C82" s="386"/>
      <c r="D82" s="386"/>
      <c r="E82" s="386"/>
      <c r="F82" s="386"/>
      <c r="G82" s="386"/>
      <c r="H82" s="387"/>
      <c r="I82" s="74"/>
      <c r="J82" s="74"/>
      <c r="K82" s="74"/>
      <c r="L82" s="74"/>
    </row>
    <row x14ac:dyDescent="0.25" r="83" customHeight="1" ht="15">
      <c r="A83" s="383" t="s">
        <v>296</v>
      </c>
      <c r="B83" s="380" t="s">
        <v>288</v>
      </c>
      <c r="C83" s="381"/>
      <c r="D83" s="381"/>
      <c r="E83" s="381"/>
      <c r="F83" s="381"/>
      <c r="G83" s="381"/>
      <c r="H83" s="382"/>
      <c r="I83" s="4"/>
      <c r="J83" s="4"/>
      <c r="K83" s="4"/>
      <c r="L83" s="4"/>
    </row>
  </sheetData>
  <mergeCells count="15">
    <mergeCell ref="A1:H1"/>
    <mergeCell ref="B2:H2"/>
    <mergeCell ref="A41:H41"/>
    <mergeCell ref="A72:H72"/>
    <mergeCell ref="A73:H73"/>
    <mergeCell ref="A74:H74"/>
    <mergeCell ref="B75:H75"/>
    <mergeCell ref="B76:H76"/>
    <mergeCell ref="B77:H77"/>
    <mergeCell ref="A78:H78"/>
    <mergeCell ref="B79:H79"/>
    <mergeCell ref="B80:H80"/>
    <mergeCell ref="B81:H81"/>
    <mergeCell ref="A82:H82"/>
    <mergeCell ref="B83:H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"/>
  <sheetViews>
    <sheetView workbookViewId="0"/>
  </sheetViews>
  <sheetFormatPr defaultRowHeight="15" x14ac:dyDescent="0.25"/>
  <cols>
    <col min="1" max="1" style="332" width="71.57642857142856" customWidth="1" bestFit="1"/>
    <col min="2" max="2" style="181" width="7.147857142857143" customWidth="1" bestFit="1"/>
    <col min="3" max="3" style="181" width="7.147857142857143" customWidth="1" bestFit="1"/>
    <col min="4" max="4" style="181" width="7.147857142857143" customWidth="1" bestFit="1"/>
    <col min="5" max="5" style="181" width="7.147857142857143" customWidth="1" bestFit="1"/>
    <col min="6" max="6" style="181" width="7.147857142857143" customWidth="1" bestFit="1"/>
    <col min="7" max="7" style="181" width="7.147857142857143" customWidth="1" bestFit="1"/>
    <col min="8" max="8" style="181" width="7.147857142857143" customWidth="1" bestFit="1"/>
  </cols>
  <sheetData>
    <row x14ac:dyDescent="0.25" r="1" customHeight="1" ht="30">
      <c r="A1" s="306" t="s">
        <v>194</v>
      </c>
      <c r="B1" s="309"/>
      <c r="C1" s="309"/>
      <c r="D1" s="309"/>
      <c r="E1" s="309"/>
      <c r="F1" s="309"/>
      <c r="G1" s="309"/>
      <c r="H1" s="309"/>
    </row>
    <row x14ac:dyDescent="0.25" r="2" customHeight="1" ht="20.25">
      <c r="A2" s="333" t="s">
        <v>195</v>
      </c>
      <c r="B2" s="334"/>
      <c r="C2" s="335"/>
      <c r="D2" s="335"/>
      <c r="E2" s="335"/>
      <c r="F2" s="335"/>
      <c r="G2" s="335"/>
      <c r="H2" s="335"/>
    </row>
    <row x14ac:dyDescent="0.25" r="3" customHeight="1" ht="4.5">
      <c r="A3" s="336"/>
      <c r="B3" s="337"/>
      <c r="C3" s="337"/>
      <c r="D3" s="337"/>
      <c r="E3" s="337"/>
      <c r="F3" s="337"/>
      <c r="G3" s="337"/>
      <c r="H3" s="338"/>
    </row>
    <row x14ac:dyDescent="0.25" r="4" customHeight="1" ht="25.5">
      <c r="A4" s="339" t="s">
        <v>196</v>
      </c>
      <c r="B4" s="340" t="s">
        <v>197</v>
      </c>
      <c r="C4" s="340" t="s">
        <v>198</v>
      </c>
      <c r="D4" s="340" t="s">
        <v>199</v>
      </c>
      <c r="E4" s="340" t="s">
        <v>198</v>
      </c>
      <c r="F4" s="340" t="s">
        <v>200</v>
      </c>
      <c r="G4" s="340" t="s">
        <v>201</v>
      </c>
      <c r="H4" s="341" t="s">
        <v>201</v>
      </c>
    </row>
    <row x14ac:dyDescent="0.25" r="5" customHeight="1" ht="25.5">
      <c r="A5" s="342" t="s">
        <v>202</v>
      </c>
      <c r="B5" s="343"/>
      <c r="C5" s="343"/>
      <c r="D5" s="343"/>
      <c r="E5" s="343"/>
      <c r="F5" s="343"/>
      <c r="G5" s="343"/>
      <c r="H5" s="343"/>
    </row>
    <row x14ac:dyDescent="0.25" r="6" customHeight="1" ht="25.5">
      <c r="A6" s="342" t="s">
        <v>203</v>
      </c>
      <c r="B6" s="343"/>
      <c r="C6" s="343"/>
      <c r="D6" s="343"/>
      <c r="E6" s="343"/>
      <c r="F6" s="343"/>
      <c r="G6" s="343"/>
      <c r="H6" s="343"/>
    </row>
    <row x14ac:dyDescent="0.25" r="7" customHeight="1" ht="25.5">
      <c r="A7" s="342" t="s">
        <v>204</v>
      </c>
      <c r="B7" s="343"/>
      <c r="C7" s="343"/>
      <c r="D7" s="343"/>
      <c r="E7" s="343"/>
      <c r="F7" s="343"/>
      <c r="G7" s="343"/>
      <c r="H7" s="343"/>
    </row>
    <row x14ac:dyDescent="0.25" r="8" customHeight="1" ht="25.5">
      <c r="A8" s="342" t="s">
        <v>205</v>
      </c>
      <c r="B8" s="343"/>
      <c r="C8" s="343"/>
      <c r="D8" s="343"/>
      <c r="E8" s="343"/>
      <c r="F8" s="343"/>
      <c r="G8" s="343"/>
      <c r="H8" s="343"/>
    </row>
    <row x14ac:dyDescent="0.25" r="9" customHeight="1" ht="25.5">
      <c r="A9" s="342" t="s">
        <v>206</v>
      </c>
      <c r="B9" s="343"/>
      <c r="C9" s="343"/>
      <c r="D9" s="343"/>
      <c r="E9" s="343"/>
      <c r="F9" s="343"/>
      <c r="G9" s="343"/>
      <c r="H9" s="343"/>
    </row>
    <row x14ac:dyDescent="0.25" r="10" customHeight="1" ht="25.5">
      <c r="A10" s="344" t="s">
        <v>207</v>
      </c>
      <c r="B10" s="343"/>
      <c r="C10" s="343"/>
      <c r="D10" s="343"/>
      <c r="E10" s="343"/>
      <c r="F10" s="343"/>
      <c r="G10" s="343"/>
      <c r="H10" s="343"/>
    </row>
    <row x14ac:dyDescent="0.25" r="11" customHeight="1" ht="25.5">
      <c r="A11" s="344" t="s">
        <v>208</v>
      </c>
      <c r="B11" s="343"/>
      <c r="C11" s="343"/>
      <c r="D11" s="343"/>
      <c r="E11" s="343"/>
      <c r="F11" s="343"/>
      <c r="G11" s="343"/>
      <c r="H11" s="343"/>
    </row>
    <row x14ac:dyDescent="0.25" r="12" customHeight="1" ht="25.5">
      <c r="A12" s="342" t="s">
        <v>209</v>
      </c>
      <c r="B12" s="345"/>
      <c r="C12" s="345"/>
      <c r="D12" s="345"/>
      <c r="E12" s="345"/>
      <c r="F12" s="345"/>
      <c r="G12" s="345"/>
      <c r="H12" s="343"/>
    </row>
    <row x14ac:dyDescent="0.25" r="13" customHeight="1" ht="25.5">
      <c r="A13" s="342" t="s">
        <v>210</v>
      </c>
      <c r="B13" s="345"/>
      <c r="C13" s="345"/>
      <c r="D13" s="345"/>
      <c r="E13" s="345"/>
      <c r="F13" s="345"/>
      <c r="G13" s="345"/>
      <c r="H13" s="343"/>
    </row>
    <row x14ac:dyDescent="0.25" r="14" customHeight="1" ht="25.5">
      <c r="A14" s="320" t="s">
        <v>211</v>
      </c>
      <c r="B14" s="346"/>
      <c r="C14" s="346"/>
      <c r="D14" s="346"/>
      <c r="E14" s="346"/>
      <c r="F14" s="346"/>
      <c r="G14" s="346"/>
      <c r="H14" s="346"/>
    </row>
    <row x14ac:dyDescent="0.25" r="15" customHeight="1" ht="4.5">
      <c r="A15" s="336"/>
      <c r="B15" s="337"/>
      <c r="C15" s="337"/>
      <c r="D15" s="337"/>
      <c r="E15" s="337"/>
      <c r="F15" s="337"/>
      <c r="G15" s="337"/>
      <c r="H15" s="338"/>
    </row>
    <row x14ac:dyDescent="0.25" r="16" customHeight="1" ht="25.5">
      <c r="A16" s="339" t="s">
        <v>212</v>
      </c>
      <c r="B16" s="340" t="s">
        <v>197</v>
      </c>
      <c r="C16" s="340" t="s">
        <v>198</v>
      </c>
      <c r="D16" s="340" t="s">
        <v>199</v>
      </c>
      <c r="E16" s="340" t="s">
        <v>198</v>
      </c>
      <c r="F16" s="340" t="s">
        <v>200</v>
      </c>
      <c r="G16" s="340" t="s">
        <v>201</v>
      </c>
      <c r="H16" s="341" t="s">
        <v>201</v>
      </c>
    </row>
    <row x14ac:dyDescent="0.25" r="17" customHeight="1" ht="25.5">
      <c r="A17" s="342" t="s">
        <v>213</v>
      </c>
      <c r="B17" s="343"/>
      <c r="C17" s="343"/>
      <c r="D17" s="343"/>
      <c r="E17" s="343"/>
      <c r="F17" s="343"/>
      <c r="G17" s="343"/>
      <c r="H17" s="343"/>
    </row>
    <row x14ac:dyDescent="0.25" r="18" customHeight="1" ht="25.5">
      <c r="A18" s="342" t="s">
        <v>214</v>
      </c>
      <c r="B18" s="343"/>
      <c r="C18" s="343"/>
      <c r="D18" s="343"/>
      <c r="E18" s="343"/>
      <c r="F18" s="343"/>
      <c r="G18" s="343"/>
      <c r="H18" s="343"/>
    </row>
    <row x14ac:dyDescent="0.25" r="19" customHeight="1" ht="25.5">
      <c r="A19" s="342" t="s">
        <v>215</v>
      </c>
      <c r="B19" s="343"/>
      <c r="C19" s="343"/>
      <c r="D19" s="343"/>
      <c r="E19" s="343"/>
      <c r="F19" s="343"/>
      <c r="G19" s="343"/>
      <c r="H19" s="343"/>
    </row>
    <row x14ac:dyDescent="0.25" r="20" customHeight="1" ht="25.5">
      <c r="A20" s="342" t="s">
        <v>216</v>
      </c>
      <c r="B20" s="343"/>
      <c r="C20" s="343"/>
      <c r="D20" s="343"/>
      <c r="E20" s="343"/>
      <c r="F20" s="343"/>
      <c r="G20" s="343"/>
      <c r="H20" s="343"/>
    </row>
    <row x14ac:dyDescent="0.25" r="21" customHeight="1" ht="25.5">
      <c r="A21" s="342" t="s">
        <v>217</v>
      </c>
      <c r="B21" s="343"/>
      <c r="C21" s="343"/>
      <c r="D21" s="343"/>
      <c r="E21" s="343"/>
      <c r="F21" s="343"/>
      <c r="G21" s="343"/>
      <c r="H21" s="343"/>
    </row>
    <row x14ac:dyDescent="0.25" r="22" customHeight="1" ht="25.5">
      <c r="A22" s="342" t="s">
        <v>218</v>
      </c>
      <c r="B22" s="343"/>
      <c r="C22" s="343"/>
      <c r="D22" s="343"/>
      <c r="E22" s="343"/>
      <c r="F22" s="343"/>
      <c r="G22" s="343"/>
      <c r="H22" s="343"/>
    </row>
    <row x14ac:dyDescent="0.25" r="23" customHeight="1" ht="25.5">
      <c r="A23" s="342" t="s">
        <v>219</v>
      </c>
      <c r="B23" s="343"/>
      <c r="C23" s="343"/>
      <c r="D23" s="343"/>
      <c r="E23" s="343"/>
      <c r="F23" s="343"/>
      <c r="G23" s="343"/>
      <c r="H23" s="343"/>
    </row>
    <row x14ac:dyDescent="0.25" r="24" customHeight="1" ht="25.5">
      <c r="A24" s="342" t="s">
        <v>220</v>
      </c>
      <c r="B24" s="343"/>
      <c r="C24" s="343"/>
      <c r="D24" s="343"/>
      <c r="E24" s="343"/>
      <c r="F24" s="343"/>
      <c r="G24" s="343"/>
      <c r="H24" s="343"/>
    </row>
    <row x14ac:dyDescent="0.25" r="25" customHeight="1" ht="25.5">
      <c r="A25" s="342" t="s">
        <v>221</v>
      </c>
      <c r="B25" s="343"/>
      <c r="C25" s="343"/>
      <c r="D25" s="343"/>
      <c r="E25" s="343"/>
      <c r="F25" s="343"/>
      <c r="G25" s="343"/>
      <c r="H25" s="343"/>
    </row>
    <row x14ac:dyDescent="0.25" r="26" customHeight="1" ht="25.5">
      <c r="A26" s="342" t="s">
        <v>222</v>
      </c>
      <c r="B26" s="343"/>
      <c r="C26" s="343"/>
      <c r="D26" s="343"/>
      <c r="E26" s="343"/>
      <c r="F26" s="343"/>
      <c r="G26" s="343"/>
      <c r="H26" s="343"/>
    </row>
    <row x14ac:dyDescent="0.25" r="27" customHeight="1" ht="25.5">
      <c r="A27" s="320" t="s">
        <v>223</v>
      </c>
      <c r="B27" s="346"/>
      <c r="C27" s="346"/>
      <c r="D27" s="346"/>
      <c r="E27" s="346"/>
      <c r="F27" s="346"/>
      <c r="G27" s="346"/>
      <c r="H27" s="346"/>
    </row>
    <row x14ac:dyDescent="0.25" r="28" customHeight="1" ht="4.5">
      <c r="A28" s="336"/>
      <c r="B28" s="337"/>
      <c r="C28" s="337"/>
      <c r="D28" s="337"/>
      <c r="E28" s="337"/>
      <c r="F28" s="337"/>
      <c r="G28" s="337"/>
      <c r="H28" s="338"/>
    </row>
  </sheetData>
  <mergeCells count="2">
    <mergeCell ref="A1:H1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/>
  </sheetViews>
  <sheetFormatPr defaultRowHeight="15" x14ac:dyDescent="0.25"/>
  <cols>
    <col min="1" max="1" style="332" width="19.005" customWidth="1" bestFit="1"/>
    <col min="2" max="2" style="211" width="15.43357142857143" customWidth="1" bestFit="1"/>
    <col min="3" max="3" style="211" width="15.43357142857143" customWidth="1" bestFit="1"/>
    <col min="4" max="4" style="177" width="15.43357142857143" customWidth="1" bestFit="1"/>
    <col min="5" max="5" style="211" width="15.43357142857143" customWidth="1" bestFit="1"/>
    <col min="6" max="6" style="176" width="13.576428571428572" customWidth="1" bestFit="1"/>
    <col min="7" max="7" style="176" width="13.576428571428572" customWidth="1" bestFit="1"/>
    <col min="8" max="8" style="176" width="13.576428571428572" customWidth="1" bestFit="1"/>
  </cols>
  <sheetData>
    <row x14ac:dyDescent="0.25" r="1" customHeight="1" ht="30">
      <c r="A1" s="306" t="s">
        <v>166</v>
      </c>
      <c r="B1" s="307"/>
      <c r="C1" s="307"/>
      <c r="D1" s="308"/>
      <c r="E1" s="307"/>
      <c r="F1" s="309"/>
      <c r="G1" s="309"/>
      <c r="H1" s="309"/>
    </row>
    <row x14ac:dyDescent="0.25" r="2" customHeight="1" ht="18.75">
      <c r="A2" s="310" t="s">
        <v>167</v>
      </c>
      <c r="B2" s="193"/>
      <c r="C2" s="193"/>
      <c r="D2" s="2"/>
      <c r="E2" s="193"/>
      <c r="F2" s="4"/>
      <c r="G2" s="4"/>
      <c r="H2" s="4"/>
    </row>
    <row x14ac:dyDescent="0.25" r="3" customHeight="1" ht="18.75">
      <c r="A3" s="1" t="s">
        <v>168</v>
      </c>
      <c r="B3" s="311"/>
      <c r="C3" s="311"/>
      <c r="D3" s="312"/>
      <c r="E3" s="311"/>
      <c r="F3" s="4"/>
      <c r="G3" s="4"/>
      <c r="H3" s="4"/>
    </row>
    <row x14ac:dyDescent="0.25" r="4" customHeight="1" ht="18.75">
      <c r="A4" s="1" t="s">
        <v>169</v>
      </c>
      <c r="B4" s="311"/>
      <c r="C4" s="311"/>
      <c r="D4" s="312"/>
      <c r="E4" s="311"/>
      <c r="F4" s="4"/>
      <c r="G4" s="4"/>
      <c r="H4" s="4"/>
    </row>
    <row x14ac:dyDescent="0.25" r="5" customHeight="1" ht="18.75">
      <c r="A5" s="1" t="s">
        <v>170</v>
      </c>
      <c r="B5" s="311"/>
      <c r="C5" s="311"/>
      <c r="D5" s="312"/>
      <c r="E5" s="311"/>
      <c r="F5" s="4"/>
      <c r="G5" s="4"/>
      <c r="H5" s="4"/>
    </row>
    <row x14ac:dyDescent="0.25" r="6" customHeight="1" ht="18.75">
      <c r="A6" s="313"/>
      <c r="B6" s="193"/>
      <c r="C6" s="193"/>
      <c r="D6" s="2"/>
      <c r="E6" s="193"/>
      <c r="F6" s="4"/>
      <c r="G6" s="4"/>
      <c r="H6" s="4"/>
    </row>
    <row x14ac:dyDescent="0.25" r="7" customHeight="1" ht="18.75">
      <c r="A7" s="314" t="s">
        <v>171</v>
      </c>
      <c r="B7" s="315"/>
      <c r="C7" s="315"/>
      <c r="D7" s="316"/>
      <c r="E7" s="315"/>
      <c r="F7" s="4"/>
      <c r="G7" s="4"/>
      <c r="H7" s="4"/>
    </row>
    <row x14ac:dyDescent="0.25" r="8" customHeight="1" ht="18.75">
      <c r="A8" s="317" t="s">
        <v>172</v>
      </c>
      <c r="B8" s="318"/>
      <c r="C8" s="318"/>
      <c r="D8" s="319"/>
      <c r="E8" s="318"/>
      <c r="F8" s="4"/>
      <c r="G8" s="4"/>
      <c r="H8" s="4"/>
    </row>
    <row x14ac:dyDescent="0.25" r="9" customHeight="1" ht="18.75">
      <c r="A9" s="320"/>
      <c r="B9" s="321" t="s">
        <v>173</v>
      </c>
      <c r="C9" s="321" t="s">
        <v>174</v>
      </c>
      <c r="D9" s="322" t="s">
        <v>175</v>
      </c>
      <c r="E9" s="321" t="s">
        <v>176</v>
      </c>
      <c r="F9" s="4"/>
      <c r="G9" s="4"/>
      <c r="H9" s="4"/>
    </row>
    <row x14ac:dyDescent="0.25" r="10" customHeight="1" ht="18.75">
      <c r="A10" s="320" t="s">
        <v>177</v>
      </c>
      <c r="B10" s="323">
        <v>26500</v>
      </c>
      <c r="C10" s="323">
        <v>27900</v>
      </c>
      <c r="D10" s="324">
        <f>C10/B10-1</f>
      </c>
      <c r="E10" s="323">
        <f>C10-B10</f>
      </c>
      <c r="F10" s="4"/>
      <c r="G10" s="4"/>
      <c r="H10" s="4"/>
    </row>
    <row x14ac:dyDescent="0.25" r="11" customHeight="1" ht="18.75">
      <c r="A11" s="317" t="s">
        <v>178</v>
      </c>
      <c r="B11" s="318"/>
      <c r="C11" s="318"/>
      <c r="D11" s="319"/>
      <c r="E11" s="318"/>
      <c r="F11" s="4"/>
      <c r="G11" s="4"/>
      <c r="H11" s="4"/>
    </row>
    <row x14ac:dyDescent="0.25" r="12" customHeight="1" ht="18.75">
      <c r="A12" s="325" t="s">
        <v>179</v>
      </c>
      <c r="B12" s="326"/>
      <c r="C12" s="326"/>
      <c r="D12" s="327"/>
      <c r="E12" s="326"/>
      <c r="F12" s="4"/>
      <c r="G12" s="4"/>
      <c r="H12" s="4"/>
    </row>
    <row x14ac:dyDescent="0.25" r="13" customHeight="1" ht="18.75">
      <c r="A13" s="328" t="s">
        <v>180</v>
      </c>
      <c r="B13" s="329"/>
      <c r="C13" s="329"/>
      <c r="D13" s="330"/>
      <c r="E13" s="329"/>
      <c r="F13" s="4"/>
      <c r="G13" s="4"/>
      <c r="H13" s="4"/>
    </row>
    <row x14ac:dyDescent="0.25" r="14" customHeight="1" ht="18.75">
      <c r="A14" s="328" t="s">
        <v>181</v>
      </c>
      <c r="B14" s="329"/>
      <c r="C14" s="329"/>
      <c r="D14" s="330"/>
      <c r="E14" s="329"/>
      <c r="F14" s="4"/>
      <c r="G14" s="4"/>
      <c r="H14" s="4"/>
    </row>
    <row x14ac:dyDescent="0.25" r="15" customHeight="1" ht="18.75">
      <c r="A15" s="328"/>
      <c r="B15" s="329"/>
      <c r="C15" s="329"/>
      <c r="D15" s="330"/>
      <c r="E15" s="329"/>
      <c r="F15" s="4"/>
      <c r="G15" s="4"/>
      <c r="H15" s="4"/>
    </row>
    <row x14ac:dyDescent="0.25" r="16" customHeight="1" ht="18.75">
      <c r="A16" s="325" t="s">
        <v>182</v>
      </c>
      <c r="B16" s="326"/>
      <c r="C16" s="326"/>
      <c r="D16" s="327"/>
      <c r="E16" s="326"/>
      <c r="F16" s="4"/>
      <c r="G16" s="4"/>
      <c r="H16" s="4"/>
    </row>
    <row x14ac:dyDescent="0.25" r="17" customHeight="1" ht="18.75">
      <c r="A17" s="328" t="s">
        <v>183</v>
      </c>
      <c r="B17" s="329"/>
      <c r="C17" s="329"/>
      <c r="D17" s="330"/>
      <c r="E17" s="329"/>
      <c r="F17" s="4"/>
      <c r="G17" s="4"/>
      <c r="H17" s="4"/>
    </row>
    <row x14ac:dyDescent="0.25" r="18" customHeight="1" ht="18.75">
      <c r="A18" s="328" t="s">
        <v>184</v>
      </c>
      <c r="B18" s="329"/>
      <c r="C18" s="329"/>
      <c r="D18" s="330"/>
      <c r="E18" s="329"/>
      <c r="F18" s="4"/>
      <c r="G18" s="4"/>
      <c r="H18" s="4"/>
    </row>
    <row x14ac:dyDescent="0.25" r="19" customHeight="1" ht="18.75">
      <c r="A19" s="328"/>
      <c r="B19" s="329"/>
      <c r="C19" s="329"/>
      <c r="D19" s="330"/>
      <c r="E19" s="329"/>
      <c r="F19" s="4"/>
      <c r="G19" s="4"/>
      <c r="H19" s="4"/>
    </row>
    <row x14ac:dyDescent="0.25" r="20" customHeight="1" ht="18.75">
      <c r="A20" s="325" t="s">
        <v>185</v>
      </c>
      <c r="B20" s="326"/>
      <c r="C20" s="326"/>
      <c r="D20" s="327"/>
      <c r="E20" s="326"/>
      <c r="F20" s="4"/>
      <c r="G20" s="4"/>
      <c r="H20" s="4"/>
    </row>
    <row x14ac:dyDescent="0.25" r="21" customHeight="1" ht="18.75">
      <c r="A21" s="328" t="s">
        <v>186</v>
      </c>
      <c r="B21" s="329"/>
      <c r="C21" s="329"/>
      <c r="D21" s="330"/>
      <c r="E21" s="329"/>
      <c r="F21" s="4"/>
      <c r="G21" s="4"/>
      <c r="H21" s="4"/>
    </row>
    <row x14ac:dyDescent="0.25" r="22" customHeight="1" ht="18.75">
      <c r="A22" s="328" t="s">
        <v>187</v>
      </c>
      <c r="B22" s="329"/>
      <c r="C22" s="329"/>
      <c r="D22" s="330"/>
      <c r="E22" s="329"/>
      <c r="F22" s="4"/>
      <c r="G22" s="4"/>
      <c r="H22" s="4"/>
    </row>
    <row x14ac:dyDescent="0.25" r="23" customHeight="1" ht="18.75">
      <c r="A23" s="328"/>
      <c r="B23" s="329"/>
      <c r="C23" s="329"/>
      <c r="D23" s="330"/>
      <c r="E23" s="329"/>
      <c r="F23" s="4"/>
      <c r="G23" s="4"/>
      <c r="H23" s="4"/>
    </row>
    <row x14ac:dyDescent="0.25" r="24" customHeight="1" ht="18.75">
      <c r="A24" s="325" t="s">
        <v>188</v>
      </c>
      <c r="B24" s="326"/>
      <c r="C24" s="326"/>
      <c r="D24" s="327"/>
      <c r="E24" s="326"/>
      <c r="F24" s="4"/>
      <c r="G24" s="4"/>
      <c r="H24" s="4"/>
    </row>
    <row x14ac:dyDescent="0.25" r="25" customHeight="1" ht="18.75">
      <c r="A25" s="328" t="s">
        <v>189</v>
      </c>
      <c r="B25" s="329"/>
      <c r="C25" s="329"/>
      <c r="D25" s="330"/>
      <c r="E25" s="329"/>
      <c r="F25" s="4"/>
      <c r="G25" s="4"/>
      <c r="H25" s="4"/>
    </row>
    <row x14ac:dyDescent="0.25" r="26" customHeight="1" ht="18.75">
      <c r="A26" s="328" t="s">
        <v>190</v>
      </c>
      <c r="B26" s="329"/>
      <c r="C26" s="329"/>
      <c r="D26" s="330"/>
      <c r="E26" s="329"/>
      <c r="F26" s="4"/>
      <c r="G26" s="4"/>
      <c r="H26" s="4"/>
    </row>
    <row x14ac:dyDescent="0.25" r="27" customHeight="1" ht="18.75">
      <c r="A27" s="328"/>
      <c r="B27" s="329"/>
      <c r="C27" s="329"/>
      <c r="D27" s="330"/>
      <c r="E27" s="329"/>
      <c r="F27" s="4"/>
      <c r="G27" s="4"/>
      <c r="H27" s="4"/>
    </row>
    <row x14ac:dyDescent="0.25" r="28" customHeight="1" ht="18.75">
      <c r="A28" s="325" t="s">
        <v>191</v>
      </c>
      <c r="B28" s="326"/>
      <c r="C28" s="326"/>
      <c r="D28" s="327"/>
      <c r="E28" s="326"/>
      <c r="F28" s="4"/>
      <c r="G28" s="4"/>
      <c r="H28" s="4"/>
    </row>
    <row x14ac:dyDescent="0.25" r="29" customHeight="1" ht="18.75">
      <c r="A29" s="328" t="s">
        <v>192</v>
      </c>
      <c r="B29" s="329"/>
      <c r="C29" s="329"/>
      <c r="D29" s="330"/>
      <c r="E29" s="329"/>
      <c r="F29" s="4"/>
      <c r="G29" s="4"/>
      <c r="H29" s="4"/>
    </row>
    <row x14ac:dyDescent="0.25" r="30" customHeight="1" ht="18.75">
      <c r="A30" s="328" t="s">
        <v>193</v>
      </c>
      <c r="B30" s="329"/>
      <c r="C30" s="329"/>
      <c r="D30" s="330"/>
      <c r="E30" s="329"/>
      <c r="F30" s="4"/>
      <c r="G30" s="4"/>
      <c r="H30" s="4"/>
    </row>
    <row x14ac:dyDescent="0.25" r="31" customHeight="1" ht="18.75">
      <c r="A31" s="328"/>
      <c r="B31" s="329"/>
      <c r="C31" s="329"/>
      <c r="D31" s="330"/>
      <c r="E31" s="329"/>
      <c r="F31" s="4"/>
      <c r="G31" s="4"/>
      <c r="H31" s="4"/>
    </row>
    <row x14ac:dyDescent="0.25" r="32" customHeight="1" ht="18.75">
      <c r="A32" s="331"/>
      <c r="B32" s="193"/>
      <c r="C32" s="193"/>
      <c r="D32" s="2"/>
      <c r="E32" s="193"/>
      <c r="F32" s="4"/>
      <c r="G32" s="4"/>
      <c r="H32" s="4"/>
    </row>
    <row x14ac:dyDescent="0.25" r="33" customHeight="1" ht="18.75">
      <c r="A33" s="331"/>
      <c r="B33" s="193"/>
      <c r="C33" s="193"/>
      <c r="D33" s="2"/>
      <c r="E33" s="193"/>
      <c r="F33" s="4"/>
      <c r="G33" s="4"/>
      <c r="H33" s="4"/>
    </row>
    <row x14ac:dyDescent="0.25" r="34" customHeight="1" ht="18.75">
      <c r="A34" s="331"/>
      <c r="B34" s="193"/>
      <c r="C34" s="193"/>
      <c r="D34" s="2"/>
      <c r="E34" s="193"/>
      <c r="F34" s="4"/>
      <c r="G34" s="4"/>
      <c r="H34" s="4"/>
    </row>
    <row x14ac:dyDescent="0.25" r="35" customHeight="1" ht="18.75">
      <c r="A35" s="331"/>
      <c r="B35" s="193"/>
      <c r="C35" s="193"/>
      <c r="D35" s="2"/>
      <c r="E35" s="193"/>
      <c r="F35" s="4"/>
      <c r="G35" s="4"/>
      <c r="H35" s="4"/>
    </row>
    <row x14ac:dyDescent="0.25" r="36" customHeight="1" ht="18.75">
      <c r="A36" s="331"/>
      <c r="B36" s="193"/>
      <c r="C36" s="193"/>
      <c r="D36" s="2"/>
      <c r="E36" s="193"/>
      <c r="F36" s="4"/>
      <c r="G36" s="4"/>
      <c r="H36" s="4"/>
    </row>
    <row x14ac:dyDescent="0.25" r="37" customHeight="1" ht="18.75">
      <c r="A37" s="331"/>
      <c r="B37" s="193"/>
      <c r="C37" s="193"/>
      <c r="D37" s="2"/>
      <c r="E37" s="193"/>
      <c r="F37" s="4"/>
      <c r="G37" s="4"/>
      <c r="H37" s="4"/>
    </row>
    <row x14ac:dyDescent="0.25" r="38" customHeight="1" ht="18.75">
      <c r="A38" s="331"/>
      <c r="B38" s="193"/>
      <c r="C38" s="193"/>
      <c r="D38" s="2"/>
      <c r="E38" s="193"/>
      <c r="F38" s="4"/>
      <c r="G38" s="4"/>
      <c r="H38" s="4"/>
    </row>
    <row x14ac:dyDescent="0.25" r="39" customHeight="1" ht="18.75">
      <c r="A39" s="331"/>
      <c r="B39" s="193"/>
      <c r="C39" s="193"/>
      <c r="D39" s="2"/>
      <c r="E39" s="193"/>
      <c r="F39" s="4"/>
      <c r="G39" s="4"/>
      <c r="H39" s="4"/>
    </row>
    <row x14ac:dyDescent="0.25" r="40" customHeight="1" ht="18.75">
      <c r="A40" s="331"/>
      <c r="B40" s="193"/>
      <c r="C40" s="193"/>
      <c r="D40" s="2"/>
      <c r="E40" s="193"/>
      <c r="F40" s="4"/>
      <c r="G40" s="4"/>
      <c r="H40" s="4"/>
    </row>
    <row x14ac:dyDescent="0.25" r="41" customHeight="1" ht="18.75">
      <c r="A41" s="331"/>
      <c r="B41" s="193"/>
      <c r="C41" s="193"/>
      <c r="D41" s="2"/>
      <c r="E41" s="193"/>
      <c r="F41" s="4"/>
      <c r="G41" s="4"/>
      <c r="H41" s="4"/>
    </row>
    <row x14ac:dyDescent="0.25" r="42" customHeight="1" ht="18.75">
      <c r="A42" s="331"/>
      <c r="B42" s="193"/>
      <c r="C42" s="193"/>
      <c r="D42" s="2"/>
      <c r="E42" s="193"/>
      <c r="F42" s="4"/>
      <c r="G42" s="4"/>
      <c r="H42" s="4"/>
    </row>
    <row x14ac:dyDescent="0.25" r="43" customHeight="1" ht="18.75">
      <c r="A43" s="331"/>
      <c r="B43" s="193"/>
      <c r="C43" s="193"/>
      <c r="D43" s="2"/>
      <c r="E43" s="193"/>
      <c r="F43" s="4"/>
      <c r="G43" s="4"/>
      <c r="H43" s="4"/>
    </row>
    <row x14ac:dyDescent="0.25" r="44" customHeight="1" ht="18.75">
      <c r="A44" s="331"/>
      <c r="B44" s="193"/>
      <c r="C44" s="193"/>
      <c r="D44" s="2"/>
      <c r="E44" s="193"/>
      <c r="F44" s="4"/>
      <c r="G44" s="4"/>
      <c r="H44" s="4"/>
    </row>
    <row x14ac:dyDescent="0.25" r="45" customHeight="1" ht="18.75">
      <c r="A45" s="331"/>
      <c r="B45" s="193"/>
      <c r="C45" s="193"/>
      <c r="D45" s="2"/>
      <c r="E45" s="193"/>
      <c r="F45" s="4"/>
      <c r="G45" s="4"/>
      <c r="H45" s="4"/>
    </row>
    <row x14ac:dyDescent="0.25" r="46" customHeight="1" ht="18.75">
      <c r="A46" s="331"/>
      <c r="B46" s="193"/>
      <c r="C46" s="193"/>
      <c r="D46" s="2"/>
      <c r="E46" s="193"/>
      <c r="F46" s="4"/>
      <c r="G46" s="4"/>
      <c r="H46" s="4"/>
    </row>
  </sheetData>
  <mergeCells count="27">
    <mergeCell ref="A1:H1"/>
    <mergeCell ref="A3:E3"/>
    <mergeCell ref="A4:E4"/>
    <mergeCell ref="A5:E5"/>
    <mergeCell ref="A7:E7"/>
    <mergeCell ref="A8:E8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9"/>
  <sheetViews>
    <sheetView workbookViewId="0" tabSelected="1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79" width="16.290714285714284" customWidth="1" bestFit="1"/>
    <col min="11" max="11" style="211" width="15.576428571428572" customWidth="1" bestFit="1"/>
    <col min="12" max="12" style="211" width="15.576428571428572" customWidth="1" bestFit="1"/>
    <col min="13" max="13" style="211" width="15.576428571428572" customWidth="1" bestFit="1"/>
    <col min="14" max="14" style="211" width="15.576428571428572" customWidth="1" bestFit="1"/>
    <col min="15" max="15" style="211" width="15.576428571428572" customWidth="1" bestFit="1"/>
    <col min="16" max="16" style="211" width="15.576428571428572" customWidth="1" bestFit="1"/>
    <col min="17" max="17" style="211" width="15.576428571428572" customWidth="1" bestFit="1"/>
    <col min="18" max="18" style="211" width="15.576428571428572" customWidth="1" bestFit="1"/>
    <col min="19" max="19" style="211" width="15.576428571428572" customWidth="1" bestFit="1"/>
    <col min="20" max="20" style="211" width="15.576428571428572" customWidth="1" bestFit="1"/>
    <col min="21" max="21" style="211" width="15.576428571428572" customWidth="1" bestFit="1"/>
    <col min="22" max="22" style="211" width="15.576428571428572" customWidth="1" bestFit="1"/>
    <col min="23" max="23" style="177" width="34.86214285714286" customWidth="1" bestFit="1"/>
    <col min="24" max="24" style="183" width="13.576428571428572" customWidth="1" bestFit="1" hidden="1"/>
  </cols>
  <sheetData>
    <row x14ac:dyDescent="0.25" r="1" customHeight="1" ht="18.75">
      <c r="A1" s="4"/>
      <c r="B1" s="2"/>
      <c r="C1" s="3"/>
      <c r="D1" s="4"/>
      <c r="E1" s="184"/>
      <c r="F1" s="4"/>
      <c r="G1" s="4"/>
      <c r="H1" s="5"/>
      <c r="I1" s="6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9"/>
      <c r="X1" s="10"/>
    </row>
    <row x14ac:dyDescent="0.25" r="2" customHeight="1" ht="23.25">
      <c r="A2" s="11" t="s">
        <v>1</v>
      </c>
      <c r="B2" s="12"/>
      <c r="C2" s="3"/>
      <c r="D2" s="4"/>
      <c r="E2" s="4"/>
      <c r="F2" s="4"/>
      <c r="G2" s="4"/>
      <c r="H2" s="13" t="s">
        <v>2</v>
      </c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85"/>
      <c r="X2" s="19"/>
    </row>
    <row x14ac:dyDescent="0.25" r="3" customHeight="1" ht="19.5">
      <c r="A3" s="20" t="s">
        <v>3</v>
      </c>
      <c r="B3" s="186" t="s">
        <v>162</v>
      </c>
      <c r="C3" s="3"/>
      <c r="D3" s="4"/>
      <c r="E3" s="4"/>
      <c r="F3" s="4"/>
      <c r="G3" s="4"/>
      <c r="H3" s="23" t="s">
        <v>6</v>
      </c>
      <c r="I3" s="24"/>
      <c r="J3" s="24"/>
      <c r="K3" s="25" t="s">
        <v>86</v>
      </c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19"/>
    </row>
    <row x14ac:dyDescent="0.25" r="4" customHeight="1" ht="33">
      <c r="A4" s="30" t="s">
        <v>15</v>
      </c>
      <c r="B4" s="31">
        <v>8226</v>
      </c>
      <c r="C4" s="32"/>
      <c r="D4" s="34"/>
      <c r="E4" s="34"/>
      <c r="F4" s="34"/>
      <c r="G4" s="34"/>
      <c r="H4" s="35" t="s">
        <v>16</v>
      </c>
      <c r="I4" s="36"/>
      <c r="J4" s="36"/>
      <c r="K4" s="37">
        <v>0</v>
      </c>
      <c r="L4" s="37">
        <v>0.04</v>
      </c>
      <c r="M4" s="37">
        <v>0.08</v>
      </c>
      <c r="N4" s="37">
        <v>0.1</v>
      </c>
      <c r="O4" s="37">
        <v>0.1</v>
      </c>
      <c r="P4" s="37">
        <v>0.12</v>
      </c>
      <c r="Q4" s="37">
        <v>0.12</v>
      </c>
      <c r="R4" s="37">
        <v>0.12</v>
      </c>
      <c r="S4" s="37">
        <v>0.1</v>
      </c>
      <c r="T4" s="37">
        <v>0.09</v>
      </c>
      <c r="U4" s="37">
        <v>0.08</v>
      </c>
      <c r="V4" s="37">
        <v>0.05</v>
      </c>
      <c r="W4" s="38" t="s">
        <v>17</v>
      </c>
      <c r="X4" s="28"/>
    </row>
    <row x14ac:dyDescent="0.25" r="5" customHeight="1" ht="27">
      <c r="A5" s="30" t="s">
        <v>18</v>
      </c>
      <c r="B5" s="31">
        <v>12000</v>
      </c>
      <c r="C5" s="3"/>
      <c r="D5" s="34"/>
      <c r="E5" s="34"/>
      <c r="F5" s="34"/>
      <c r="G5" s="34"/>
      <c r="H5" s="39" t="s">
        <v>20</v>
      </c>
      <c r="I5" s="40"/>
      <c r="J5" s="40"/>
      <c r="K5" s="41">
        <f>K4*B4</f>
      </c>
      <c r="L5" s="41">
        <f>SUM(K$4:L$4)*$B$4</f>
      </c>
      <c r="M5" s="41">
        <f>SUM(K4:M4)*$B$4</f>
      </c>
      <c r="N5" s="41">
        <f>SUM(K4:N4)*$B$4</f>
      </c>
      <c r="O5" s="41">
        <f>SUM(K4:O4)*$B$4</f>
      </c>
      <c r="P5" s="41">
        <f>SUM(K4:P4)*$B$4</f>
      </c>
      <c r="Q5" s="41">
        <f>SUM(K4:Q4)*$B$4</f>
      </c>
      <c r="R5" s="41">
        <f>SUM(K4:R4)*$B$4</f>
      </c>
      <c r="S5" s="41">
        <f>SUM(K4:S4)*$B$4</f>
      </c>
      <c r="T5" s="41">
        <f>SUM(K4:T4)*$B$4</f>
      </c>
      <c r="U5" s="41">
        <f>SUM(K4:U4)*$B$4</f>
      </c>
      <c r="V5" s="41">
        <f>SUM(K4:V4)*$B$4</f>
      </c>
      <c r="W5" s="42"/>
      <c r="X5" s="28"/>
    </row>
    <row x14ac:dyDescent="0.25" r="6" customHeight="1" ht="27">
      <c r="A6" s="30" t="s">
        <v>21</v>
      </c>
      <c r="B6" s="31">
        <v>7000</v>
      </c>
      <c r="C6" s="43">
        <f>B5/B4</f>
      </c>
      <c r="D6" s="22" t="s">
        <v>5</v>
      </c>
      <c r="E6" s="44"/>
      <c r="F6" s="44"/>
      <c r="G6" s="44"/>
      <c r="H6" s="39" t="s">
        <v>22</v>
      </c>
      <c r="I6" s="40"/>
      <c r="J6" s="40"/>
      <c r="K6" s="41">
        <f>K4*B5</f>
      </c>
      <c r="L6" s="41">
        <f>SUM(K4:L4)*$B$5</f>
      </c>
      <c r="M6" s="41">
        <f>SUM(K4:M4)*$B$5</f>
      </c>
      <c r="N6" s="41">
        <f>SUM(K4:N4)*$B$5</f>
      </c>
      <c r="O6" s="41">
        <f>SUM(K4:O4)*$B$5</f>
      </c>
      <c r="P6" s="41">
        <f>SUM(K4:P4)*$B$5</f>
      </c>
      <c r="Q6" s="41">
        <f>SUM(K4:Q4)*$B$5</f>
      </c>
      <c r="R6" s="41">
        <f>SUM(K4:R4)*$B$5</f>
      </c>
      <c r="S6" s="41">
        <f>SUM(K4:S4)*$B$5</f>
      </c>
      <c r="T6" s="41">
        <f>SUM(K4:T4)*$B$5</f>
      </c>
      <c r="U6" s="41">
        <f>SUM(K4:U4)*$B$5</f>
      </c>
      <c r="V6" s="41">
        <f>SUM(K4:V4)*$B$5</f>
      </c>
      <c r="W6" s="42"/>
      <c r="X6" s="28"/>
    </row>
    <row x14ac:dyDescent="0.25" r="7" customHeight="1" ht="27">
      <c r="A7" s="30" t="s">
        <v>23</v>
      </c>
      <c r="B7" s="45">
        <v>800</v>
      </c>
      <c r="C7" s="3"/>
      <c r="D7" s="33"/>
      <c r="E7" s="34"/>
      <c r="F7" s="34"/>
      <c r="G7" s="34"/>
      <c r="H7" s="46" t="s">
        <v>26</v>
      </c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">
      <c r="A8" s="30" t="s">
        <v>27</v>
      </c>
      <c r="B8" s="49">
        <v>0.1</v>
      </c>
      <c r="C8" s="3"/>
      <c r="D8" s="33"/>
      <c r="E8" s="22" t="s">
        <v>19</v>
      </c>
      <c r="F8" s="22" t="s">
        <v>91</v>
      </c>
      <c r="G8" s="22" t="s">
        <v>163</v>
      </c>
      <c r="H8" s="50" t="s">
        <v>28</v>
      </c>
      <c r="I8" s="51"/>
      <c r="J8" s="51"/>
      <c r="K8" s="52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">
      <c r="A9" s="30" t="s">
        <v>29</v>
      </c>
      <c r="B9" s="53">
        <v>1200</v>
      </c>
      <c r="C9" s="3"/>
      <c r="D9" s="33"/>
      <c r="E9" s="33"/>
      <c r="F9" s="33"/>
      <c r="G9" s="33"/>
      <c r="H9" s="46" t="s">
        <v>30</v>
      </c>
      <c r="I9" s="54"/>
      <c r="J9" s="54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">
      <c r="A10" s="30" t="s">
        <v>31</v>
      </c>
      <c r="B10" s="53">
        <f>B11*B9</f>
      </c>
      <c r="C10" s="3"/>
      <c r="D10" s="33"/>
      <c r="E10" s="33"/>
      <c r="F10" s="33"/>
      <c r="G10" s="33"/>
      <c r="H10" s="46" t="s">
        <v>32</v>
      </c>
      <c r="I10" s="47"/>
      <c r="J10" s="47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7"/>
      <c r="J11" s="4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">
      <c r="A12" s="30" t="s">
        <v>34</v>
      </c>
      <c r="B12" s="60">
        <v>2</v>
      </c>
      <c r="C12" s="29"/>
      <c r="D12" s="33"/>
      <c r="E12" s="33"/>
      <c r="F12" s="33"/>
      <c r="G12" s="33"/>
      <c r="H12" s="46" t="s">
        <v>35</v>
      </c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v>100</v>
      </c>
      <c r="C13" s="3"/>
      <c r="D13" s="33"/>
      <c r="E13" s="33"/>
      <c r="F13" s="33"/>
      <c r="G13" s="33"/>
      <c r="H13" s="46" t="s">
        <v>36</v>
      </c>
      <c r="I13" s="63"/>
      <c r="J13" s="63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3.25">
      <c r="A14" s="66" t="s">
        <v>37</v>
      </c>
      <c r="B14" s="67"/>
      <c r="C14" s="3"/>
      <c r="D14" s="33"/>
      <c r="E14" s="33"/>
      <c r="F14" s="33"/>
      <c r="G14" s="33"/>
      <c r="H14" s="68" t="s">
        <v>38</v>
      </c>
      <c r="I14" s="69"/>
      <c r="J14" s="69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">
      <c r="A15" s="20" t="s">
        <v>39</v>
      </c>
      <c r="B15" s="73">
        <v>453745</v>
      </c>
      <c r="C15" s="3"/>
      <c r="D15" s="33"/>
      <c r="E15" s="33"/>
      <c r="F15" s="33"/>
      <c r="G15" s="33"/>
      <c r="H15" s="4"/>
      <c r="I15" s="74"/>
      <c r="J15" s="74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2"/>
      <c r="X15" s="72"/>
    </row>
    <row x14ac:dyDescent="0.25" r="16" customHeight="1" ht="27">
      <c r="A16" s="30" t="s">
        <v>40</v>
      </c>
      <c r="B16" s="78"/>
      <c r="C16" s="3"/>
      <c r="D16" s="33"/>
      <c r="E16" s="33"/>
      <c r="F16" s="33"/>
      <c r="G16" s="33"/>
      <c r="H16" s="79" t="s">
        <v>41</v>
      </c>
      <c r="I16" s="80"/>
      <c r="J16" s="80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195"/>
      <c r="X16" s="65"/>
    </row>
    <row x14ac:dyDescent="0.25" r="17" customHeight="1" ht="27">
      <c r="A17" s="30" t="s">
        <v>42</v>
      </c>
      <c r="B17" s="213"/>
      <c r="C17" s="3"/>
      <c r="D17" s="33"/>
      <c r="E17" s="33"/>
      <c r="F17" s="33"/>
      <c r="G17" s="33"/>
      <c r="H17" s="196" t="s">
        <v>43</v>
      </c>
      <c r="I17" s="87" t="s">
        <v>44</v>
      </c>
      <c r="J17" s="87" t="s">
        <v>119</v>
      </c>
      <c r="K17" s="88">
        <f>K$3</f>
      </c>
      <c r="L17" s="88">
        <f>L$3</f>
      </c>
      <c r="M17" s="88">
        <f>M$3</f>
      </c>
      <c r="N17" s="88">
        <f>N$3</f>
      </c>
      <c r="O17" s="88">
        <f>O$3</f>
      </c>
      <c r="P17" s="88">
        <f>P$3</f>
      </c>
      <c r="Q17" s="88">
        <f>Q$3</f>
      </c>
      <c r="R17" s="88">
        <f>R$3</f>
      </c>
      <c r="S17" s="88">
        <f>S$3</f>
      </c>
      <c r="T17" s="88">
        <f>T$3</f>
      </c>
      <c r="U17" s="88">
        <f>U$3</f>
      </c>
      <c r="V17" s="88">
        <f>V$3</f>
      </c>
      <c r="W17" s="198" t="s">
        <v>46</v>
      </c>
      <c r="X17" s="72"/>
    </row>
    <row x14ac:dyDescent="0.25" r="18" customHeight="1" ht="27.75">
      <c r="A18" s="30" t="s">
        <v>121</v>
      </c>
      <c r="B18" s="300"/>
      <c r="C18" s="3"/>
      <c r="D18" s="33"/>
      <c r="E18" s="33"/>
      <c r="F18" s="33"/>
      <c r="G18" s="33"/>
      <c r="H18" s="112" t="s">
        <v>47</v>
      </c>
      <c r="I18" s="113" t="s">
        <v>146</v>
      </c>
      <c r="J18" s="217" t="s">
        <v>110</v>
      </c>
      <c r="K18" s="98" t="s">
        <v>49</v>
      </c>
      <c r="L18" s="98" t="s">
        <v>50</v>
      </c>
      <c r="M18" s="98" t="s">
        <v>50</v>
      </c>
      <c r="N18" s="98" t="s">
        <v>57</v>
      </c>
      <c r="O18" s="98" t="s">
        <v>57</v>
      </c>
      <c r="P18" s="98" t="s">
        <v>50</v>
      </c>
      <c r="Q18" s="98" t="s">
        <v>50</v>
      </c>
      <c r="R18" s="98"/>
      <c r="S18" s="98"/>
      <c r="T18" s="98"/>
      <c r="U18" s="98"/>
      <c r="V18" s="98"/>
      <c r="W18" s="103"/>
      <c r="X18" s="65"/>
    </row>
    <row x14ac:dyDescent="0.25" r="19" customHeight="1" ht="27.75">
      <c r="A19" s="30"/>
      <c r="B19" s="92"/>
      <c r="C19" s="3"/>
      <c r="D19" s="33"/>
      <c r="E19" s="33"/>
      <c r="F19" s="33"/>
      <c r="G19" s="33"/>
      <c r="H19" s="112" t="s">
        <v>92</v>
      </c>
      <c r="I19" s="113" t="s">
        <v>93</v>
      </c>
      <c r="J19" s="217"/>
      <c r="K19" s="98" t="s">
        <v>49</v>
      </c>
      <c r="L19" s="98" t="s">
        <v>54</v>
      </c>
      <c r="M19" s="98" t="s">
        <v>54</v>
      </c>
      <c r="N19" s="98" t="s">
        <v>50</v>
      </c>
      <c r="O19" s="98" t="s">
        <v>50</v>
      </c>
      <c r="P19" s="98" t="s">
        <v>54</v>
      </c>
      <c r="Q19" s="98" t="s">
        <v>54</v>
      </c>
      <c r="R19" s="98" t="s">
        <v>50</v>
      </c>
      <c r="S19" s="98"/>
      <c r="T19" s="98"/>
      <c r="U19" s="98"/>
      <c r="V19" s="98"/>
      <c r="W19" s="103"/>
      <c r="X19" s="65"/>
    </row>
    <row x14ac:dyDescent="0.25" r="20" customHeight="1" ht="27.75">
      <c r="A20" s="30"/>
      <c r="B20" s="92"/>
      <c r="C20" s="3"/>
      <c r="D20" s="33"/>
      <c r="E20" s="33"/>
      <c r="F20" s="33"/>
      <c r="G20" s="33"/>
      <c r="H20" s="112" t="s">
        <v>94</v>
      </c>
      <c r="I20" s="113" t="s">
        <v>164</v>
      </c>
      <c r="J20" s="217"/>
      <c r="K20" s="98"/>
      <c r="L20" s="98" t="s">
        <v>49</v>
      </c>
      <c r="M20" s="301" t="s">
        <v>49</v>
      </c>
      <c r="N20" s="301"/>
      <c r="O20" s="301"/>
      <c r="P20" s="301"/>
      <c r="Q20" s="301"/>
      <c r="R20" s="98"/>
      <c r="S20" s="98"/>
      <c r="T20" s="98"/>
      <c r="U20" s="98"/>
      <c r="V20" s="98"/>
      <c r="W20" s="103"/>
      <c r="X20" s="65"/>
    </row>
    <row x14ac:dyDescent="0.25" r="21" customHeight="1" ht="18.75" hidden="1">
      <c r="A21" s="108"/>
      <c r="B21" s="275">
        <f>B15+B18</f>
      </c>
      <c r="C21" s="3"/>
      <c r="D21" s="110"/>
      <c r="E21" s="110"/>
      <c r="F21" s="110"/>
      <c r="G21" s="111"/>
      <c r="H21" s="112" t="s">
        <v>62</v>
      </c>
      <c r="I21" s="113" t="s">
        <v>147</v>
      </c>
      <c r="J21" s="220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206"/>
      <c r="X21" s="65"/>
    </row>
    <row x14ac:dyDescent="0.25" r="22" customHeight="1" ht="18.75" hidden="1">
      <c r="A22" s="114"/>
      <c r="B22" s="115">
        <v>1</v>
      </c>
      <c r="C22" s="3"/>
      <c r="D22" s="110"/>
      <c r="E22" s="110"/>
      <c r="F22" s="110"/>
      <c r="G22" s="111"/>
      <c r="H22" s="112"/>
      <c r="I22" s="144"/>
      <c r="J22" s="220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206"/>
      <c r="X22" s="72"/>
    </row>
    <row x14ac:dyDescent="0.25" r="23" customHeight="1" ht="27.75">
      <c r="A23" s="114"/>
      <c r="B23" s="117"/>
      <c r="C23" s="3"/>
      <c r="D23" s="110"/>
      <c r="E23" s="110"/>
      <c r="F23" s="110"/>
      <c r="G23" s="111"/>
      <c r="H23" s="112" t="s">
        <v>99</v>
      </c>
      <c r="I23" s="113" t="s">
        <v>56</v>
      </c>
      <c r="J23" s="220"/>
      <c r="K23" s="98"/>
      <c r="L23" s="98"/>
      <c r="M23" s="98" t="s">
        <v>61</v>
      </c>
      <c r="N23" s="98" t="s">
        <v>61</v>
      </c>
      <c r="O23" s="105"/>
      <c r="P23" s="105"/>
      <c r="Q23" s="105"/>
      <c r="R23" s="98"/>
      <c r="S23" s="98"/>
      <c r="T23" s="98"/>
      <c r="U23" s="98"/>
      <c r="V23" s="98"/>
      <c r="W23" s="206"/>
      <c r="X23" s="72"/>
    </row>
    <row x14ac:dyDescent="0.25" r="24" customHeight="1" ht="27.75">
      <c r="A24" s="119" t="s">
        <v>64</v>
      </c>
      <c r="B24" s="120"/>
      <c r="C24" s="3"/>
      <c r="D24" s="110"/>
      <c r="E24" s="110"/>
      <c r="F24" s="110"/>
      <c r="G24" s="111"/>
      <c r="H24" s="112" t="s">
        <v>62</v>
      </c>
      <c r="I24" s="113" t="s">
        <v>63</v>
      </c>
      <c r="J24" s="220"/>
      <c r="K24" s="98"/>
      <c r="L24" s="98"/>
      <c r="M24" s="98"/>
      <c r="N24" s="105" t="s">
        <v>54</v>
      </c>
      <c r="O24" s="106"/>
      <c r="P24" s="106" t="s">
        <v>57</v>
      </c>
      <c r="Q24" s="106" t="s">
        <v>57</v>
      </c>
      <c r="R24" s="106" t="s">
        <v>52</v>
      </c>
      <c r="S24" s="98"/>
      <c r="T24" s="98"/>
      <c r="U24" s="98"/>
      <c r="V24" s="98"/>
      <c r="W24" s="206"/>
      <c r="X24" s="72"/>
    </row>
    <row x14ac:dyDescent="0.25" r="25" customHeight="1" ht="27.75">
      <c r="A25" s="119" t="s">
        <v>66</v>
      </c>
      <c r="B25" s="120"/>
      <c r="C25" s="3"/>
      <c r="D25" s="110"/>
      <c r="E25" s="110"/>
      <c r="F25" s="110"/>
      <c r="G25" s="111"/>
      <c r="H25" s="112" t="s">
        <v>139</v>
      </c>
      <c r="I25" s="113" t="s">
        <v>101</v>
      </c>
      <c r="J25" s="220"/>
      <c r="K25" s="98"/>
      <c r="L25" s="98"/>
      <c r="M25" s="98"/>
      <c r="N25" s="98"/>
      <c r="O25" s="118" t="s">
        <v>52</v>
      </c>
      <c r="P25" s="118" t="s">
        <v>61</v>
      </c>
      <c r="Q25" s="118" t="s">
        <v>61</v>
      </c>
      <c r="R25" s="98" t="s">
        <v>61</v>
      </c>
      <c r="S25" s="98" t="s">
        <v>50</v>
      </c>
      <c r="T25" s="105"/>
      <c r="U25" s="105"/>
      <c r="V25" s="105"/>
      <c r="W25" s="206"/>
      <c r="X25" s="72"/>
    </row>
    <row x14ac:dyDescent="0.25" r="26" customHeight="1" ht="27.75">
      <c r="A26" s="124" t="s">
        <v>124</v>
      </c>
      <c r="B26" s="201"/>
      <c r="C26" s="3"/>
      <c r="D26" s="110"/>
      <c r="E26" s="110"/>
      <c r="F26" s="110"/>
      <c r="G26" s="111"/>
      <c r="H26" s="112" t="s">
        <v>98</v>
      </c>
      <c r="I26" s="113" t="s">
        <v>104</v>
      </c>
      <c r="J26" s="220"/>
      <c r="K26" s="98"/>
      <c r="L26" s="98"/>
      <c r="M26" s="98"/>
      <c r="N26" s="98"/>
      <c r="O26" s="98"/>
      <c r="P26" s="106" t="s">
        <v>54</v>
      </c>
      <c r="Q26" s="106"/>
      <c r="R26" s="106"/>
      <c r="S26" s="98" t="s">
        <v>57</v>
      </c>
      <c r="T26" s="98" t="s">
        <v>57</v>
      </c>
      <c r="U26" s="98"/>
      <c r="V26" s="98"/>
      <c r="W26" s="302" t="s">
        <v>74</v>
      </c>
      <c r="X26" s="72"/>
    </row>
    <row x14ac:dyDescent="0.25" r="27" customHeight="1" ht="27.75">
      <c r="A27" s="129" t="s">
        <v>75</v>
      </c>
      <c r="B27" s="2"/>
      <c r="C27" s="3"/>
      <c r="D27" s="110"/>
      <c r="E27" s="110"/>
      <c r="F27" s="110"/>
      <c r="G27" s="111"/>
      <c r="H27" s="112" t="s">
        <v>140</v>
      </c>
      <c r="I27" s="113" t="s">
        <v>106</v>
      </c>
      <c r="J27" s="220"/>
      <c r="K27" s="98"/>
      <c r="L27" s="98"/>
      <c r="M27" s="98"/>
      <c r="N27" s="98"/>
      <c r="O27" s="98"/>
      <c r="P27" s="98"/>
      <c r="Q27" s="98"/>
      <c r="R27" s="98" t="s">
        <v>61</v>
      </c>
      <c r="S27" s="303"/>
      <c r="T27" s="105"/>
      <c r="U27" s="105"/>
      <c r="V27" s="105"/>
      <c r="W27" s="206"/>
      <c r="X27" s="72"/>
    </row>
    <row x14ac:dyDescent="0.25" r="28" customHeight="1" ht="27.75">
      <c r="A28" s="297"/>
      <c r="B28" s="298"/>
      <c r="C28" s="3"/>
      <c r="D28" s="110"/>
      <c r="E28" s="110"/>
      <c r="F28" s="110"/>
      <c r="G28" s="111"/>
      <c r="H28" s="112" t="s">
        <v>71</v>
      </c>
      <c r="I28" s="113" t="s">
        <v>106</v>
      </c>
      <c r="J28" s="220"/>
      <c r="K28" s="98"/>
      <c r="L28" s="98"/>
      <c r="M28" s="98"/>
      <c r="N28" s="98"/>
      <c r="O28" s="98"/>
      <c r="P28" s="98"/>
      <c r="Q28" s="98"/>
      <c r="R28" s="98" t="s">
        <v>57</v>
      </c>
      <c r="S28" s="121"/>
      <c r="T28" s="121"/>
      <c r="U28" s="121"/>
      <c r="V28" s="121"/>
      <c r="W28" s="103"/>
      <c r="X28" s="72"/>
    </row>
    <row x14ac:dyDescent="0.25" r="29" customHeight="1" ht="27.75">
      <c r="A29" s="304"/>
      <c r="B29" s="305"/>
      <c r="C29" s="3"/>
      <c r="D29" s="110"/>
      <c r="E29" s="110"/>
      <c r="F29" s="110"/>
      <c r="G29" s="111"/>
      <c r="H29" s="112" t="s">
        <v>165</v>
      </c>
      <c r="I29" s="113" t="s">
        <v>106</v>
      </c>
      <c r="J29" s="220"/>
      <c r="K29" s="98"/>
      <c r="L29" s="98"/>
      <c r="M29" s="98"/>
      <c r="N29" s="98"/>
      <c r="O29" s="98"/>
      <c r="P29" s="98"/>
      <c r="Q29" s="98"/>
      <c r="R29" s="121" t="s">
        <v>54</v>
      </c>
      <c r="S29" s="106"/>
      <c r="T29" s="106"/>
      <c r="U29" s="106"/>
      <c r="V29" s="106"/>
      <c r="W29" s="103"/>
      <c r="X29" s="141"/>
    </row>
    <row x14ac:dyDescent="0.25" r="30" customHeight="1" ht="27.75">
      <c r="A30" s="129"/>
      <c r="B30" s="117"/>
      <c r="C30" s="3"/>
      <c r="D30" s="110"/>
      <c r="E30" s="110"/>
      <c r="F30" s="110"/>
      <c r="G30" s="111"/>
      <c r="H30" s="112" t="s">
        <v>107</v>
      </c>
      <c r="I30" s="113" t="s">
        <v>128</v>
      </c>
      <c r="J30" s="220"/>
      <c r="K30" s="98"/>
      <c r="L30" s="98"/>
      <c r="M30" s="98"/>
      <c r="N30" s="98"/>
      <c r="O30" s="98"/>
      <c r="P30" s="98"/>
      <c r="Q30" s="98"/>
      <c r="R30" s="98" t="s">
        <v>116</v>
      </c>
      <c r="S30" s="242"/>
      <c r="T30" s="242"/>
      <c r="U30" s="242"/>
      <c r="V30" s="242"/>
      <c r="W30" s="206"/>
      <c r="X30" s="141"/>
    </row>
    <row x14ac:dyDescent="0.25" r="31" customHeight="1" ht="27.75">
      <c r="A31" s="129"/>
      <c r="B31" s="117"/>
      <c r="C31" s="3"/>
      <c r="D31" s="110"/>
      <c r="E31" s="110"/>
      <c r="F31" s="110"/>
      <c r="G31" s="111"/>
      <c r="H31" s="112" t="s">
        <v>143</v>
      </c>
      <c r="I31" s="113" t="s">
        <v>128</v>
      </c>
      <c r="J31" s="220"/>
      <c r="K31" s="98"/>
      <c r="L31" s="98"/>
      <c r="M31" s="98"/>
      <c r="N31" s="98"/>
      <c r="O31" s="98"/>
      <c r="P31" s="98"/>
      <c r="Q31" s="98"/>
      <c r="R31" s="98" t="s">
        <v>116</v>
      </c>
      <c r="S31" s="242"/>
      <c r="T31" s="242"/>
      <c r="U31" s="242"/>
      <c r="V31" s="242"/>
      <c r="W31" s="206"/>
      <c r="X31" s="141"/>
    </row>
    <row x14ac:dyDescent="0.25" r="32" customHeight="1" ht="27.75">
      <c r="A32" s="129"/>
      <c r="B32" s="117"/>
      <c r="C32" s="3"/>
      <c r="D32" s="110"/>
      <c r="E32" s="110"/>
      <c r="F32" s="110"/>
      <c r="G32" s="111"/>
      <c r="H32" s="112"/>
      <c r="I32" s="144"/>
      <c r="J32" s="220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206"/>
      <c r="X32" s="141"/>
    </row>
    <row x14ac:dyDescent="0.25" r="33" customHeight="1" ht="27.75">
      <c r="A33" s="129"/>
      <c r="B33" s="117"/>
      <c r="C33" s="3"/>
      <c r="D33" s="110"/>
      <c r="E33" s="110"/>
      <c r="F33" s="110"/>
      <c r="G33" s="111"/>
      <c r="H33" s="112"/>
      <c r="I33" s="144"/>
      <c r="J33" s="220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206"/>
      <c r="X33" s="141"/>
    </row>
    <row x14ac:dyDescent="0.25" r="34" customHeight="1" ht="27.75">
      <c r="A34" s="142"/>
      <c r="B34" s="143"/>
      <c r="C34" s="3"/>
      <c r="D34" s="110"/>
      <c r="E34" s="110"/>
      <c r="F34" s="110"/>
      <c r="G34" s="111"/>
      <c r="H34" s="112"/>
      <c r="I34" s="144"/>
      <c r="J34" s="220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206"/>
      <c r="X34" s="141">
        <f>COUNTIF(#REF!,$R$54)+COUNTIF(#REF!,$S$54)+COUNTIF(#REF!,$M$54)+COUNTIF(#REF!,$N$54)+COUNTIF(#REF!,$O$54)+COUNTIF(#REF!,$P$54)+COUNTIF(#REF!,$Q$54)</f>
      </c>
    </row>
    <row x14ac:dyDescent="0.25" r="35" customHeight="1" ht="27.75">
      <c r="A35" s="134" t="s">
        <v>155</v>
      </c>
      <c r="B35" s="135"/>
      <c r="C35" s="3"/>
      <c r="D35" s="110"/>
      <c r="E35" s="110"/>
      <c r="F35" s="110"/>
      <c r="G35" s="111"/>
      <c r="H35" s="112"/>
      <c r="I35" s="144"/>
      <c r="J35" s="220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103"/>
      <c r="X35" s="141">
        <f>COUNTIF(#REF!,$R$54)+COUNTIF(#REF!,$S$54)+COUNTIF(#REF!,$M$54)+COUNTIF(#REF!,$N$54)+COUNTIF(#REF!,$O$54)+COUNTIF(#REF!,$P$54)+COUNTIF(#REF!,$Q$54)</f>
      </c>
    </row>
    <row x14ac:dyDescent="0.25" r="36" customHeight="1" ht="27.75">
      <c r="A36" s="142"/>
      <c r="B36" s="143"/>
      <c r="C36" s="136"/>
      <c r="D36" s="110"/>
      <c r="E36" s="110"/>
      <c r="F36" s="110"/>
      <c r="G36" s="111"/>
      <c r="H36" s="112"/>
      <c r="I36" s="144"/>
      <c r="J36" s="220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103"/>
      <c r="X36" s="141">
        <f>COUNTIF(#REF!,$R$54)+COUNTIF(#REF!,$S$54)+COUNTIF(#REF!,$M$54)+COUNTIF(#REF!,$N$54)+COUNTIF(#REF!,$O$54)+COUNTIF(#REF!,$P$54)+COUNTIF(#REF!,$Q$54)</f>
      </c>
    </row>
    <row x14ac:dyDescent="0.25" r="37" customHeight="1" ht="27.75">
      <c r="A37" s="142"/>
      <c r="B37" s="143"/>
      <c r="C37" s="136"/>
      <c r="D37" s="110"/>
      <c r="E37" s="110"/>
      <c r="F37" s="110"/>
      <c r="G37" s="111"/>
      <c r="H37" s="149"/>
      <c r="I37" s="144"/>
      <c r="J37" s="220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103"/>
      <c r="X37" s="141">
        <f>COUNTIF(#REF!,$R$54)+COUNTIF(#REF!,$S$54)+COUNTIF(#REF!,$M$54)+COUNTIF(#REF!,$N$54)+COUNTIF(#REF!,$O$54)+COUNTIF(#REF!,$P$54)+COUNTIF(#REF!,$Q$54)</f>
      </c>
    </row>
    <row x14ac:dyDescent="0.25" r="38" customHeight="1" ht="27.75">
      <c r="A38" s="134" t="s">
        <v>111</v>
      </c>
      <c r="B38" s="135"/>
      <c r="C38" s="136"/>
      <c r="D38" s="110"/>
      <c r="E38" s="110"/>
      <c r="F38" s="110"/>
      <c r="G38" s="111"/>
      <c r="H38" s="152"/>
      <c r="I38" s="153"/>
      <c r="J38" s="220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103"/>
      <c r="X38" s="141">
        <f>COUNTIF(#REF!,$R$54)+COUNTIF(#REF!,$S$54)+COUNTIF(#REF!,$M$54)+COUNTIF(#REF!,$N$54)+COUNTIF(#REF!,$O$54)+COUNTIF(#REF!,$P$54)+COUNTIF(#REF!,$Q$54)</f>
      </c>
    </row>
    <row x14ac:dyDescent="0.25" r="39" customHeight="1" ht="27.75">
      <c r="A39" s="142"/>
      <c r="B39" s="143"/>
      <c r="C39" s="136"/>
      <c r="D39" s="110"/>
      <c r="E39" s="110"/>
      <c r="F39" s="110"/>
      <c r="G39" s="111"/>
      <c r="H39" s="152"/>
      <c r="I39" s="154"/>
      <c r="J39" s="217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103"/>
      <c r="X39" s="141">
        <f>COUNTIF(K36:V36,$R$54)+COUNTIF(K36:V36,$S$54)+COUNTIF(K36:V36,$M$54)+COUNTIF(K36:V36,$N$54)+COUNTIF(K36:V36,$O$54)+COUNTIF(K36:V36,$P$54)+COUNTIF(K36:V36,$Q$54)</f>
      </c>
    </row>
    <row x14ac:dyDescent="0.25" r="40" customHeight="1" ht="27.75">
      <c r="A40" s="142"/>
      <c r="B40" s="143"/>
      <c r="C40" s="136"/>
      <c r="D40" s="110"/>
      <c r="E40" s="110"/>
      <c r="F40" s="110"/>
      <c r="G40" s="111"/>
      <c r="H40" s="152"/>
      <c r="I40" s="154"/>
      <c r="J40" s="220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103"/>
      <c r="X40" s="141">
        <f>COUNTIF(K37:V37,$R$54)+COUNTIF(K37:V37,$S$54)+COUNTIF(K37:V37,$M$54)+COUNTIF(K37:V37,$N$54)+COUNTIF(K37:V37,$O$54)+COUNTIF(K37:V37,$P$54)+COUNTIF(K37:V37,$Q$54)</f>
      </c>
    </row>
    <row x14ac:dyDescent="0.25" r="41" customHeight="1" ht="27.75">
      <c r="A41" s="134" t="s">
        <v>112</v>
      </c>
      <c r="B41" s="135"/>
      <c r="C41" s="136"/>
      <c r="D41" s="110"/>
      <c r="E41" s="110"/>
      <c r="F41" s="110"/>
      <c r="G41" s="111"/>
      <c r="H41" s="4"/>
      <c r="I41" s="154"/>
      <c r="J41" s="220"/>
      <c r="K41" s="98"/>
      <c r="L41" s="98"/>
      <c r="M41" s="98"/>
      <c r="N41" s="137"/>
      <c r="O41" s="98"/>
      <c r="P41" s="98"/>
      <c r="Q41" s="137"/>
      <c r="R41" s="137"/>
      <c r="S41" s="98"/>
      <c r="T41" s="98"/>
      <c r="U41" s="98"/>
      <c r="V41" s="98"/>
      <c r="W41" s="103"/>
      <c r="X41" s="141">
        <f>COUNTIF(K38:V38,$R$54)+COUNTIF(K38:V38,$S$54)+COUNTIF(K38:V38,$M$54)+COUNTIF(K38:V38,$N$54)+COUNTIF(K38:V38,$O$54)+COUNTIF(K38:V38,$P$54)+COUNTIF(K38:V38,$Q$54)</f>
      </c>
    </row>
    <row x14ac:dyDescent="0.25" r="42" customHeight="1" ht="27.75">
      <c r="A42" s="142"/>
      <c r="B42" s="143"/>
      <c r="C42" s="136"/>
      <c r="D42" s="110"/>
      <c r="E42" s="110"/>
      <c r="F42" s="110"/>
      <c r="G42" s="111"/>
      <c r="H42" s="4"/>
      <c r="I42" s="152" t="s">
        <v>83</v>
      </c>
      <c r="J42" s="220"/>
      <c r="K42" s="98"/>
      <c r="L42" s="98"/>
      <c r="M42" s="98"/>
      <c r="N42" s="137"/>
      <c r="O42" s="98"/>
      <c r="P42" s="98"/>
      <c r="Q42" s="137"/>
      <c r="R42" s="137"/>
      <c r="S42" s="98"/>
      <c r="T42" s="98"/>
      <c r="U42" s="98"/>
      <c r="V42" s="98"/>
      <c r="W42" s="103"/>
      <c r="X42" s="141">
        <f>COUNTIF(K39:V39,$R$54)+COUNTIF(K39:V39,$S$54)+COUNTIF(K39:V39,$M$54)+COUNTIF(K39:V39,$N$54)+COUNTIF(K39:V39,$O$54)+COUNTIF(K39:V39,$P$54)+COUNTIF(K39:V39,$Q$54)</f>
      </c>
    </row>
    <row x14ac:dyDescent="0.25" r="43" customHeight="1" ht="27.75">
      <c r="A43" s="142"/>
      <c r="B43" s="143"/>
      <c r="C43" s="136"/>
      <c r="D43" s="110"/>
      <c r="E43" s="110"/>
      <c r="F43" s="110"/>
      <c r="G43" s="111"/>
      <c r="H43" s="4"/>
      <c r="I43" s="74"/>
      <c r="J43" s="220"/>
      <c r="K43" s="98"/>
      <c r="L43" s="98"/>
      <c r="M43" s="98"/>
      <c r="N43" s="137"/>
      <c r="O43" s="98"/>
      <c r="P43" s="98"/>
      <c r="Q43" s="137"/>
      <c r="R43" s="137"/>
      <c r="S43" s="98"/>
      <c r="T43" s="98"/>
      <c r="U43" s="98"/>
      <c r="V43" s="98"/>
      <c r="W43" s="103"/>
      <c r="X43" s="141">
        <f>COUNTIF(K40:V40,$R$54)+COUNTIF(K40:V40,$S$54)+COUNTIF(K40:V40,$M$54)+COUNTIF(K40:V40,$N$54)+COUNTIF(K40:V40,$O$54)+COUNTIF(K40:V40,$P$54)+COUNTIF(K40:V40,$Q$54)</f>
      </c>
    </row>
    <row x14ac:dyDescent="0.25" r="44" customHeight="1" ht="27.75">
      <c r="A44" s="134" t="s">
        <v>113</v>
      </c>
      <c r="B44" s="135"/>
      <c r="C44" s="136"/>
      <c r="D44" s="110"/>
      <c r="E44" s="110"/>
      <c r="F44" s="110"/>
      <c r="G44" s="111"/>
      <c r="H44" s="4"/>
      <c r="I44" s="74"/>
      <c r="J44" s="220"/>
      <c r="K44" s="98"/>
      <c r="L44" s="98"/>
      <c r="M44" s="98"/>
      <c r="N44" s="137"/>
      <c r="O44" s="98"/>
      <c r="P44" s="98"/>
      <c r="Q44" s="137"/>
      <c r="R44" s="137"/>
      <c r="S44" s="98"/>
      <c r="T44" s="98"/>
      <c r="U44" s="98"/>
      <c r="V44" s="98"/>
      <c r="W44" s="103"/>
      <c r="X44" s="141">
        <f>COUNTIF(K41:V41,$R$54)+COUNTIF(K41:V41,$S$54)+COUNTIF(K41:V41,$M$54)+COUNTIF(K41:V41,$N$54)+COUNTIF(K41:V41,$O$54)+COUNTIF(K41:V41,$P$54)+COUNTIF(K41:V41,$Q$54)</f>
      </c>
    </row>
    <row x14ac:dyDescent="0.25" r="45" customHeight="1" ht="27.75">
      <c r="A45" s="142"/>
      <c r="B45" s="143"/>
      <c r="C45" s="136"/>
      <c r="D45" s="110"/>
      <c r="E45" s="110"/>
      <c r="F45" s="110"/>
      <c r="G45" s="111"/>
      <c r="H45" s="4"/>
      <c r="I45" s="74"/>
      <c r="J45" s="220"/>
      <c r="K45" s="98"/>
      <c r="L45" s="98"/>
      <c r="M45" s="98"/>
      <c r="N45" s="137"/>
      <c r="O45" s="98"/>
      <c r="P45" s="98"/>
      <c r="Q45" s="137"/>
      <c r="R45" s="137"/>
      <c r="S45" s="98"/>
      <c r="T45" s="98"/>
      <c r="U45" s="98"/>
      <c r="V45" s="98"/>
      <c r="W45" s="103"/>
      <c r="X45" s="141">
        <f>COUNTIF(K42:V42,$R$54)+COUNTIF(K42:V42,$S$54)+COUNTIF(K42:V42,$M$54)+COUNTIF(K42:V42,$N$54)+COUNTIF(K42:V42,$O$54)+COUNTIF(K42:V42,$P$54)+COUNTIF(K42:V42,$Q$54)</f>
      </c>
    </row>
    <row x14ac:dyDescent="0.25" r="46" customHeight="1" ht="27.75">
      <c r="A46" s="142"/>
      <c r="B46" s="143"/>
      <c r="C46" s="136"/>
      <c r="D46" s="110"/>
      <c r="E46" s="110"/>
      <c r="F46" s="110"/>
      <c r="G46" s="111"/>
      <c r="H46" s="4"/>
      <c r="I46" s="74"/>
      <c r="J46" s="220"/>
      <c r="K46" s="98"/>
      <c r="L46" s="98"/>
      <c r="M46" s="98"/>
      <c r="N46" s="137"/>
      <c r="O46" s="98"/>
      <c r="P46" s="98"/>
      <c r="Q46" s="137"/>
      <c r="R46" s="137"/>
      <c r="S46" s="98"/>
      <c r="T46" s="98"/>
      <c r="U46" s="98"/>
      <c r="V46" s="98"/>
      <c r="W46" s="103"/>
      <c r="X46" s="141">
        <f>COUNTIF(K43:V43,$R$54)+COUNTIF(K43:V43,$S$54)+COUNTIF(K43:V43,$M$54)+COUNTIF(K43:V43,$N$54)+COUNTIF(K43:V43,$O$54)+COUNTIF(K43:V43,$P$54)+COUNTIF(K43:V43,$Q$54)</f>
      </c>
    </row>
    <row x14ac:dyDescent="0.25" r="47" customHeight="1" ht="27.75">
      <c r="A47" s="134" t="s">
        <v>114</v>
      </c>
      <c r="B47" s="135"/>
      <c r="C47" s="136"/>
      <c r="D47" s="110"/>
      <c r="E47" s="110"/>
      <c r="F47" s="110"/>
      <c r="G47" s="111"/>
      <c r="H47" s="4"/>
      <c r="I47" s="74"/>
      <c r="J47" s="220"/>
      <c r="K47" s="98"/>
      <c r="L47" s="98"/>
      <c r="M47" s="98"/>
      <c r="N47" s="137"/>
      <c r="O47" s="98"/>
      <c r="P47" s="98"/>
      <c r="Q47" s="137"/>
      <c r="R47" s="137"/>
      <c r="S47" s="98"/>
      <c r="T47" s="98"/>
      <c r="U47" s="98"/>
      <c r="V47" s="98"/>
      <c r="W47" s="103"/>
      <c r="X47" s="141">
        <f>COUNTIF(K44:V44,$R$54)+COUNTIF(K44:V44,$S$54)+COUNTIF(K44:V44,$M$54)+COUNTIF(K44:V44,$N$54)+COUNTIF(K44:V44,$O$54)+COUNTIF(K44:V44,$P$54)+COUNTIF(K44:V44,$Q$54)</f>
      </c>
    </row>
    <row x14ac:dyDescent="0.25" r="48" customHeight="1" ht="27.75">
      <c r="A48" s="142" t="s">
        <v>159</v>
      </c>
      <c r="B48" s="143"/>
      <c r="C48" s="136"/>
      <c r="D48" s="110"/>
      <c r="E48" s="110"/>
      <c r="F48" s="110"/>
      <c r="G48" s="111"/>
      <c r="H48" s="4"/>
      <c r="I48" s="74"/>
      <c r="J48" s="220"/>
      <c r="K48" s="98"/>
      <c r="L48" s="98"/>
      <c r="M48" s="98"/>
      <c r="N48" s="137"/>
      <c r="O48" s="98"/>
      <c r="P48" s="98"/>
      <c r="Q48" s="137"/>
      <c r="R48" s="137"/>
      <c r="S48" s="98"/>
      <c r="T48" s="98"/>
      <c r="U48" s="98"/>
      <c r="V48" s="98"/>
      <c r="W48" s="103"/>
      <c r="X48" s="141">
        <f>COUNTIF(K45:V45,$R$54)+COUNTIF(K45:V45,$S$54)+COUNTIF(K45:V45,$M$54)+COUNTIF(K45:V45,$N$54)+COUNTIF(K45:V45,$O$54)+COUNTIF(K45:V45,$P$54)+COUNTIF(K45:V45,$Q$54)</f>
      </c>
    </row>
    <row x14ac:dyDescent="0.25" r="49" customHeight="1" ht="27.75">
      <c r="A49" s="142" t="s">
        <v>131</v>
      </c>
      <c r="B49" s="143"/>
      <c r="C49" s="136"/>
      <c r="D49" s="110"/>
      <c r="E49" s="110"/>
      <c r="F49" s="110"/>
      <c r="G49" s="111"/>
      <c r="H49" s="4"/>
      <c r="I49" s="74"/>
      <c r="J49" s="144"/>
      <c r="K49" s="100"/>
      <c r="L49" s="100"/>
      <c r="M49" s="100"/>
      <c r="N49" s="145"/>
      <c r="O49" s="100"/>
      <c r="P49" s="100"/>
      <c r="Q49" s="145"/>
      <c r="R49" s="145"/>
      <c r="S49" s="100"/>
      <c r="T49" s="100"/>
      <c r="U49" s="100"/>
      <c r="V49" s="100"/>
      <c r="W49" s="103"/>
      <c r="X49" s="141">
        <f>COUNTIF(#REF!,$R$54)+COUNTIF(#REF!,$S$54)+COUNTIF(#REF!,$M$54)+COUNTIF(#REF!,$N$54)+COUNTIF(#REF!,$O$54)+COUNTIF(#REF!,$P$54)+COUNTIF(#REF!,$Q$54)</f>
      </c>
    </row>
    <row x14ac:dyDescent="0.25" r="50" customHeight="1" ht="27.75">
      <c r="A50" s="134" t="s">
        <v>79</v>
      </c>
      <c r="B50" s="135"/>
      <c r="C50" s="136"/>
      <c r="D50" s="110"/>
      <c r="E50" s="110"/>
      <c r="F50" s="110"/>
      <c r="G50" s="111"/>
      <c r="H50" s="4"/>
      <c r="I50" s="74"/>
      <c r="J50" s="153"/>
      <c r="K50" s="158"/>
      <c r="L50" s="158"/>
      <c r="M50" s="158"/>
      <c r="N50" s="159"/>
      <c r="O50" s="158"/>
      <c r="P50" s="158"/>
      <c r="Q50" s="159"/>
      <c r="R50" s="159"/>
      <c r="S50" s="158"/>
      <c r="T50" s="158"/>
      <c r="U50" s="158"/>
      <c r="V50" s="158"/>
      <c r="W50" s="103"/>
      <c r="X50" s="141"/>
    </row>
    <row x14ac:dyDescent="0.25" r="51" customHeight="1" ht="27.75">
      <c r="A51" s="142"/>
      <c r="B51" s="143"/>
      <c r="C51" s="136"/>
      <c r="D51" s="110"/>
      <c r="E51" s="110"/>
      <c r="F51" s="110"/>
      <c r="G51" s="111"/>
      <c r="H51" s="4"/>
      <c r="I51" s="74"/>
      <c r="J51" s="154"/>
      <c r="K51" s="166"/>
      <c r="L51" s="166"/>
      <c r="M51" s="166"/>
      <c r="N51" s="167"/>
      <c r="O51" s="166"/>
      <c r="P51" s="166"/>
      <c r="Q51" s="167"/>
      <c r="R51" s="167"/>
      <c r="S51" s="166"/>
      <c r="T51" s="166"/>
      <c r="U51" s="166"/>
      <c r="V51" s="166"/>
      <c r="W51" s="103"/>
      <c r="X51" s="148"/>
    </row>
    <row x14ac:dyDescent="0.25" r="52" customHeight="1" ht="27.75">
      <c r="A52" s="142"/>
      <c r="B52" s="143"/>
      <c r="C52" s="136"/>
      <c r="D52" s="110"/>
      <c r="E52" s="110"/>
      <c r="F52" s="110"/>
      <c r="G52" s="111"/>
      <c r="H52" s="4"/>
      <c r="I52" s="74"/>
      <c r="J52" s="154"/>
      <c r="K52" s="166"/>
      <c r="L52" s="166"/>
      <c r="M52" s="166"/>
      <c r="N52" s="167"/>
      <c r="O52" s="166"/>
      <c r="P52" s="166"/>
      <c r="Q52" s="167"/>
      <c r="R52" s="167"/>
      <c r="S52" s="166"/>
      <c r="T52" s="166"/>
      <c r="U52" s="166"/>
      <c r="V52" s="166"/>
      <c r="W52" s="103"/>
      <c r="X52" s="151"/>
    </row>
    <row x14ac:dyDescent="0.25" r="53" customHeight="1" ht="27.75">
      <c r="A53" s="134" t="s">
        <v>82</v>
      </c>
      <c r="B53" s="135"/>
      <c r="C53" s="136"/>
      <c r="D53" s="110"/>
      <c r="E53" s="110"/>
      <c r="F53" s="110"/>
      <c r="G53" s="111"/>
      <c r="H53" s="4"/>
      <c r="I53" s="74"/>
      <c r="J53" s="154"/>
      <c r="K53" s="166"/>
      <c r="L53" s="166"/>
      <c r="M53" s="166"/>
      <c r="N53" s="167"/>
      <c r="O53" s="166"/>
      <c r="P53" s="166"/>
      <c r="Q53" s="167"/>
      <c r="R53" s="167"/>
      <c r="S53" s="166"/>
      <c r="T53" s="166"/>
      <c r="U53" s="166"/>
      <c r="V53" s="166"/>
      <c r="W53" s="103"/>
      <c r="X53" s="151"/>
    </row>
    <row x14ac:dyDescent="0.25" r="54" customHeight="1" ht="27.75">
      <c r="A54" s="142"/>
      <c r="B54" s="143"/>
      <c r="C54" s="136"/>
      <c r="D54" s="110"/>
      <c r="E54" s="110"/>
      <c r="F54" s="110"/>
      <c r="G54" s="111"/>
      <c r="H54" s="4"/>
      <c r="I54" s="74"/>
      <c r="J54" s="154"/>
      <c r="K54" s="208" t="s">
        <v>115</v>
      </c>
      <c r="L54" s="170" t="s">
        <v>50</v>
      </c>
      <c r="M54" s="171" t="s">
        <v>61</v>
      </c>
      <c r="N54" s="171" t="s">
        <v>54</v>
      </c>
      <c r="O54" s="171" t="s">
        <v>51</v>
      </c>
      <c r="P54" s="171" t="s">
        <v>84</v>
      </c>
      <c r="Q54" s="172" t="s">
        <v>52</v>
      </c>
      <c r="R54" s="172" t="s">
        <v>57</v>
      </c>
      <c r="S54" s="172" t="s">
        <v>69</v>
      </c>
      <c r="T54" s="209" t="s">
        <v>49</v>
      </c>
      <c r="U54" s="209" t="s">
        <v>110</v>
      </c>
      <c r="V54" s="209" t="s">
        <v>116</v>
      </c>
      <c r="W54" s="162"/>
      <c r="X54" s="151"/>
    </row>
    <row x14ac:dyDescent="0.25" r="55" customHeight="1" ht="27.75">
      <c r="A55" s="156"/>
      <c r="B55" s="157"/>
      <c r="C55" s="136"/>
      <c r="D55" s="110"/>
      <c r="E55" s="110"/>
      <c r="F55" s="110"/>
      <c r="G55" s="111"/>
      <c r="H55" s="4"/>
      <c r="I55" s="74"/>
      <c r="J55" s="74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69"/>
      <c r="X55" s="151"/>
    </row>
    <row x14ac:dyDescent="0.25" r="56" customHeight="1" ht="26.25">
      <c r="A56" s="163"/>
      <c r="B56" s="164"/>
      <c r="C56" s="136"/>
      <c r="D56" s="165"/>
      <c r="E56" s="165"/>
      <c r="F56" s="165"/>
      <c r="G56" s="165"/>
      <c r="H56" s="4"/>
      <c r="I56" s="74"/>
      <c r="J56" s="74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69"/>
      <c r="X56" s="151"/>
    </row>
    <row x14ac:dyDescent="0.25" r="57" customHeight="1" ht="26.25">
      <c r="A57" s="163"/>
      <c r="B57" s="164"/>
      <c r="C57" s="136"/>
      <c r="D57" s="165"/>
      <c r="E57" s="165"/>
      <c r="F57" s="165"/>
      <c r="G57" s="165"/>
      <c r="H57" s="4"/>
      <c r="I57" s="74"/>
      <c r="J57" s="74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69"/>
      <c r="X57" s="151"/>
    </row>
    <row x14ac:dyDescent="0.25" r="58" customHeight="1" ht="26.25">
      <c r="A58" s="163"/>
      <c r="B58" s="164"/>
      <c r="C58" s="136"/>
      <c r="D58" s="165"/>
      <c r="E58" s="165"/>
      <c r="F58" s="165"/>
      <c r="G58" s="165"/>
      <c r="H58" s="4"/>
      <c r="I58" s="74"/>
      <c r="J58" s="74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2"/>
      <c r="X58" s="151"/>
    </row>
    <row x14ac:dyDescent="0.25" r="59" customHeight="1" ht="18.75" hidden="1">
      <c r="A59" s="4"/>
      <c r="B59" s="2"/>
      <c r="C59" s="136"/>
      <c r="D59" s="4"/>
      <c r="E59" s="4"/>
      <c r="F59" s="4"/>
      <c r="G59" s="4"/>
      <c r="H59" s="4"/>
      <c r="I59" s="74"/>
      <c r="J59" s="74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2"/>
      <c r="X59" s="175">
        <f>COUNTIF(#REF!,$R$54)+COUNTIF(#REF!,$S$54)+COUNTIF(#REF!,$M$54)+COUNTIF(#REF!,$N$54)+COUNTIF(#REF!,$O$54)+COUNTIF(#REF!,$P$54)+COUNTIF(#REF!,$Q$54)</f>
      </c>
    </row>
  </sheetData>
  <mergeCells count="47">
    <mergeCell ref="H1:W1"/>
    <mergeCell ref="A2:B2"/>
    <mergeCell ref="H2:W2"/>
    <mergeCell ref="H3:I3"/>
    <mergeCell ref="H4:I4"/>
    <mergeCell ref="H5:I5"/>
    <mergeCell ref="D6:D18"/>
    <mergeCell ref="H6:I6"/>
    <mergeCell ref="H7:I7"/>
    <mergeCell ref="E8:E18"/>
    <mergeCell ref="F8:F18"/>
    <mergeCell ref="G8:G18"/>
    <mergeCell ref="H8:I8"/>
    <mergeCell ref="H9:I9"/>
    <mergeCell ref="H10:I10"/>
    <mergeCell ref="H11:I11"/>
    <mergeCell ref="H12:I12"/>
    <mergeCell ref="H13:I13"/>
    <mergeCell ref="A14:B14"/>
    <mergeCell ref="H14:I14"/>
    <mergeCell ref="H16:W16"/>
    <mergeCell ref="A24:B24"/>
    <mergeCell ref="A25:B25"/>
    <mergeCell ref="A28:B28"/>
    <mergeCell ref="A29:B2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9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79" width="12.862142857142858" customWidth="1" bestFit="1"/>
    <col min="11" max="11" style="211" width="15.576428571428572" customWidth="1" bestFit="1"/>
    <col min="12" max="12" style="211" width="15.576428571428572" customWidth="1" bestFit="1"/>
    <col min="13" max="13" style="211" width="15.576428571428572" customWidth="1" bestFit="1"/>
    <col min="14" max="14" style="211" width="15.576428571428572" customWidth="1" bestFit="1"/>
    <col min="15" max="15" style="211" width="15.576428571428572" customWidth="1" bestFit="1"/>
    <col min="16" max="16" style="211" width="15.576428571428572" customWidth="1" bestFit="1"/>
    <col min="17" max="17" style="211" width="15.576428571428572" customWidth="1" bestFit="1"/>
    <col min="18" max="18" style="211" width="15.576428571428572" customWidth="1" bestFit="1"/>
    <col min="19" max="19" style="211" width="15.576428571428572" customWidth="1" bestFit="1"/>
    <col min="20" max="20" style="211" width="15.576428571428572" customWidth="1" bestFit="1"/>
    <col min="21" max="21" style="211" width="15.576428571428572" customWidth="1" bestFit="1"/>
    <col min="22" max="22" style="211" width="15.576428571428572" customWidth="1" bestFit="1"/>
    <col min="23" max="23" style="177" width="34.86214285714286" customWidth="1" bestFit="1"/>
    <col min="24" max="24" style="183" width="13.576428571428572" customWidth="1" bestFit="1" hidden="1"/>
  </cols>
  <sheetData>
    <row x14ac:dyDescent="0.25" r="1" customHeight="1" ht="88.5">
      <c r="A1" s="4"/>
      <c r="B1" s="2"/>
      <c r="C1" s="3"/>
      <c r="D1" s="4"/>
      <c r="E1" s="184"/>
      <c r="F1" s="4"/>
      <c r="G1" s="4"/>
      <c r="H1" s="5"/>
      <c r="I1" s="250"/>
      <c r="J1" s="250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2"/>
      <c r="X1" s="10"/>
    </row>
    <row x14ac:dyDescent="0.25" r="2" customHeight="1" ht="27.75">
      <c r="A2" s="11" t="s">
        <v>1</v>
      </c>
      <c r="B2" s="253"/>
      <c r="C2" s="3"/>
      <c r="D2" s="4"/>
      <c r="E2" s="295"/>
      <c r="F2" s="4"/>
      <c r="G2" s="4"/>
      <c r="H2" s="13" t="s">
        <v>2</v>
      </c>
      <c r="I2" s="254"/>
      <c r="J2" s="254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6"/>
      <c r="X2" s="19"/>
    </row>
    <row x14ac:dyDescent="0.25" r="3" customHeight="1" ht="27.75">
      <c r="A3" s="20" t="s">
        <v>3</v>
      </c>
      <c r="B3" s="186" t="s">
        <v>160</v>
      </c>
      <c r="C3" s="3"/>
      <c r="D3" s="4"/>
      <c r="E3" s="4"/>
      <c r="F3" s="4"/>
      <c r="G3" s="4"/>
      <c r="H3" s="23" t="s">
        <v>6</v>
      </c>
      <c r="I3" s="257"/>
      <c r="J3" s="258"/>
      <c r="K3" s="25" t="s">
        <v>86</v>
      </c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19"/>
    </row>
    <row x14ac:dyDescent="0.25" r="4" customHeight="1" ht="27.75">
      <c r="A4" s="30" t="s">
        <v>15</v>
      </c>
      <c r="B4" s="31">
        <v>10303</v>
      </c>
      <c r="C4" s="32"/>
      <c r="D4" s="34"/>
      <c r="E4" s="34"/>
      <c r="F4" s="34"/>
      <c r="G4" s="34"/>
      <c r="H4" s="35" t="s">
        <v>16</v>
      </c>
      <c r="I4" s="259"/>
      <c r="J4" s="260"/>
      <c r="K4" s="37"/>
      <c r="L4" s="37">
        <v>0.04</v>
      </c>
      <c r="M4" s="37">
        <v>0.08</v>
      </c>
      <c r="N4" s="37">
        <v>0.1</v>
      </c>
      <c r="O4" s="37">
        <v>0.1</v>
      </c>
      <c r="P4" s="37">
        <v>0.12</v>
      </c>
      <c r="Q4" s="37">
        <v>0.12</v>
      </c>
      <c r="R4" s="37">
        <v>0.12</v>
      </c>
      <c r="S4" s="37">
        <v>0.1</v>
      </c>
      <c r="T4" s="37">
        <v>0.09</v>
      </c>
      <c r="U4" s="37">
        <v>0.08</v>
      </c>
      <c r="V4" s="37">
        <v>0.05</v>
      </c>
      <c r="W4" s="38" t="s">
        <v>17</v>
      </c>
      <c r="X4" s="28"/>
    </row>
    <row x14ac:dyDescent="0.25" r="5" customHeight="1" ht="27.75">
      <c r="A5" s="30" t="s">
        <v>18</v>
      </c>
      <c r="B5" s="31">
        <v>11000</v>
      </c>
      <c r="C5" s="3"/>
      <c r="D5" s="34"/>
      <c r="E5" s="34"/>
      <c r="F5" s="34"/>
      <c r="G5" s="34"/>
      <c r="H5" s="39" t="s">
        <v>20</v>
      </c>
      <c r="I5" s="39"/>
      <c r="J5" s="261"/>
      <c r="K5" s="41">
        <f>K4*B4</f>
      </c>
      <c r="L5" s="41">
        <f>SUM(K$4:L$4)*$B$4</f>
      </c>
      <c r="M5" s="41">
        <f>SUM(K4:M4)*$B$4</f>
      </c>
      <c r="N5" s="41">
        <f>SUM(K4:N4)*$B$4</f>
      </c>
      <c r="O5" s="41">
        <f>SUM(K4:O4)*$B$4</f>
      </c>
      <c r="P5" s="41">
        <f>SUM(K4:P4)*$B$4</f>
      </c>
      <c r="Q5" s="41">
        <f>SUM(K4:Q4)*$B$4</f>
      </c>
      <c r="R5" s="41">
        <f>SUM(K4:R4)*$B$4</f>
      </c>
      <c r="S5" s="41">
        <f>SUM(K4:S4)*$B$4</f>
      </c>
      <c r="T5" s="41">
        <f>SUM(K4:T4)*$B$4</f>
      </c>
      <c r="U5" s="41">
        <f>SUM(K4:U4)*$B$4</f>
      </c>
      <c r="V5" s="41">
        <f>SUM(K4:V4)*$B$4</f>
      </c>
      <c r="W5" s="42"/>
      <c r="X5" s="28"/>
    </row>
    <row x14ac:dyDescent="0.25" r="6" customHeight="1" ht="27.75">
      <c r="A6" s="30" t="s">
        <v>21</v>
      </c>
      <c r="B6" s="31">
        <v>9000</v>
      </c>
      <c r="C6" s="43">
        <f>B5/B4</f>
      </c>
      <c r="D6" s="22" t="s">
        <v>5</v>
      </c>
      <c r="E6" s="44"/>
      <c r="F6" s="44"/>
      <c r="G6" s="44"/>
      <c r="H6" s="39" t="s">
        <v>22</v>
      </c>
      <c r="I6" s="39"/>
      <c r="J6" s="261"/>
      <c r="K6" s="41">
        <f>K4*B5</f>
      </c>
      <c r="L6" s="41">
        <f>SUM(K4:L4)*$B$5</f>
      </c>
      <c r="M6" s="41">
        <f>SUM(K4:M4)*$B$5</f>
      </c>
      <c r="N6" s="41">
        <f>SUM(K4:N4)*$B$5</f>
      </c>
      <c r="O6" s="41">
        <f>SUM(K4:O4)*$B$5</f>
      </c>
      <c r="P6" s="41">
        <f>SUM(K4:P4)*$B$5</f>
      </c>
      <c r="Q6" s="41">
        <f>SUM(K4:Q4)*$B$5</f>
      </c>
      <c r="R6" s="41">
        <f>SUM(K4:R4)*$B$5</f>
      </c>
      <c r="S6" s="41">
        <f>SUM(K4:S4)*$B$5</f>
      </c>
      <c r="T6" s="41">
        <f>SUM(K4:T4)*$B$5</f>
      </c>
      <c r="U6" s="41">
        <f>SUM(K4:U4)*$B$5</f>
      </c>
      <c r="V6" s="41">
        <f>SUM(K4:V4)*$B$5</f>
      </c>
      <c r="W6" s="42"/>
      <c r="X6" s="28"/>
    </row>
    <row x14ac:dyDescent="0.25" r="7" customHeight="1" ht="27.75">
      <c r="A7" s="30" t="s">
        <v>23</v>
      </c>
      <c r="B7" s="45">
        <v>400</v>
      </c>
      <c r="C7" s="3"/>
      <c r="D7" s="33"/>
      <c r="E7" s="34"/>
      <c r="F7" s="34"/>
      <c r="G7" s="34"/>
      <c r="H7" s="46" t="s">
        <v>26</v>
      </c>
      <c r="I7" s="46"/>
      <c r="J7" s="262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.75">
      <c r="A8" s="30" t="s">
        <v>27</v>
      </c>
      <c r="B8" s="49">
        <v>0.1</v>
      </c>
      <c r="C8" s="3"/>
      <c r="D8" s="33"/>
      <c r="E8" s="22" t="s">
        <v>19</v>
      </c>
      <c r="F8" s="22" t="s">
        <v>24</v>
      </c>
      <c r="G8" s="22" t="s">
        <v>25</v>
      </c>
      <c r="H8" s="50" t="s">
        <v>28</v>
      </c>
      <c r="I8" s="50"/>
      <c r="J8" s="263"/>
      <c r="K8" s="52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.75">
      <c r="A9" s="30" t="s">
        <v>29</v>
      </c>
      <c r="B9" s="53">
        <v>500</v>
      </c>
      <c r="C9" s="3"/>
      <c r="D9" s="33"/>
      <c r="E9" s="33"/>
      <c r="F9" s="33"/>
      <c r="G9" s="33"/>
      <c r="H9" s="46" t="s">
        <v>30</v>
      </c>
      <c r="I9" s="264"/>
      <c r="J9" s="26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.75">
      <c r="A10" s="30" t="s">
        <v>31</v>
      </c>
      <c r="B10" s="53">
        <v>100</v>
      </c>
      <c r="C10" s="3"/>
      <c r="D10" s="33"/>
      <c r="E10" s="33"/>
      <c r="F10" s="33"/>
      <c r="G10" s="33"/>
      <c r="H10" s="46" t="s">
        <v>32</v>
      </c>
      <c r="I10" s="46"/>
      <c r="J10" s="262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6"/>
      <c r="J11" s="262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.75">
      <c r="A12" s="30" t="s">
        <v>34</v>
      </c>
      <c r="B12" s="60">
        <v>2.3</v>
      </c>
      <c r="C12" s="29"/>
      <c r="D12" s="33"/>
      <c r="E12" s="33"/>
      <c r="F12" s="33"/>
      <c r="G12" s="33"/>
      <c r="H12" s="46" t="s">
        <v>35</v>
      </c>
      <c r="I12" s="46"/>
      <c r="J12" s="262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v>100</v>
      </c>
      <c r="C13" s="3"/>
      <c r="D13" s="33"/>
      <c r="E13" s="33"/>
      <c r="F13" s="33"/>
      <c r="G13" s="33"/>
      <c r="H13" s="46" t="s">
        <v>36</v>
      </c>
      <c r="I13" s="266"/>
      <c r="J13" s="26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7.75">
      <c r="A14" s="66" t="s">
        <v>37</v>
      </c>
      <c r="B14" s="268"/>
      <c r="C14" s="3"/>
      <c r="D14" s="33"/>
      <c r="E14" s="33"/>
      <c r="F14" s="33"/>
      <c r="G14" s="33"/>
      <c r="H14" s="68" t="s">
        <v>38</v>
      </c>
      <c r="I14" s="269"/>
      <c r="J14" s="2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.75">
      <c r="A15" s="20" t="s">
        <v>39</v>
      </c>
      <c r="B15" s="73">
        <v>453745</v>
      </c>
      <c r="C15" s="3"/>
      <c r="D15" s="33"/>
      <c r="E15" s="33"/>
      <c r="F15" s="33"/>
      <c r="G15" s="33"/>
      <c r="H15" s="4"/>
      <c r="I15" s="74"/>
      <c r="J15" s="74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2"/>
      <c r="X15" s="72"/>
    </row>
    <row x14ac:dyDescent="0.25" r="16" customHeight="1" ht="27.75">
      <c r="A16" s="30" t="s">
        <v>40</v>
      </c>
      <c r="B16" s="78"/>
      <c r="C16" s="3"/>
      <c r="D16" s="33"/>
      <c r="E16" s="33"/>
      <c r="F16" s="33"/>
      <c r="G16" s="33"/>
      <c r="H16" s="79" t="s">
        <v>41</v>
      </c>
      <c r="I16" s="271"/>
      <c r="J16" s="271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3"/>
      <c r="X16" s="65"/>
    </row>
    <row x14ac:dyDescent="0.25" r="17" customHeight="1" ht="27.75">
      <c r="A17" s="30" t="s">
        <v>42</v>
      </c>
      <c r="B17" s="213"/>
      <c r="C17" s="3"/>
      <c r="D17" s="33"/>
      <c r="E17" s="33"/>
      <c r="F17" s="33"/>
      <c r="G17" s="33"/>
      <c r="H17" s="196" t="s">
        <v>43</v>
      </c>
      <c r="I17" s="87" t="s">
        <v>44</v>
      </c>
      <c r="J17" s="87" t="s">
        <v>119</v>
      </c>
      <c r="K17" s="88">
        <f>K$3</f>
      </c>
      <c r="L17" s="88">
        <f>L$3</f>
      </c>
      <c r="M17" s="88">
        <f>M$3</f>
      </c>
      <c r="N17" s="88">
        <f>N$3</f>
      </c>
      <c r="O17" s="88">
        <f>O$3</f>
      </c>
      <c r="P17" s="88">
        <f>P$3</f>
      </c>
      <c r="Q17" s="88">
        <f>Q$3</f>
      </c>
      <c r="R17" s="88">
        <f>R$3</f>
      </c>
      <c r="S17" s="88">
        <f>S$3</f>
      </c>
      <c r="T17" s="88">
        <f>T$3</f>
      </c>
      <c r="U17" s="88">
        <f>U$3</f>
      </c>
      <c r="V17" s="88">
        <f>V$3</f>
      </c>
      <c r="W17" s="198" t="s">
        <v>46</v>
      </c>
      <c r="X17" s="72"/>
    </row>
    <row x14ac:dyDescent="0.25" r="18" customHeight="1" ht="27.75">
      <c r="A18" s="30"/>
      <c r="B18" s="213"/>
      <c r="C18" s="3"/>
      <c r="D18" s="33"/>
      <c r="E18" s="33"/>
      <c r="F18" s="33"/>
      <c r="G18" s="33"/>
      <c r="H18" s="112" t="s">
        <v>122</v>
      </c>
      <c r="I18" s="113" t="s">
        <v>146</v>
      </c>
      <c r="J18" s="217" t="s">
        <v>110</v>
      </c>
      <c r="K18" s="296" t="s">
        <v>110</v>
      </c>
      <c r="L18" s="122" t="s">
        <v>110</v>
      </c>
      <c r="M18" s="122" t="s">
        <v>110</v>
      </c>
      <c r="N18" s="122" t="s">
        <v>110</v>
      </c>
      <c r="O18" s="99" t="s">
        <v>61</v>
      </c>
      <c r="P18" s="122" t="s">
        <v>61</v>
      </c>
      <c r="Q18" s="122" t="s">
        <v>52</v>
      </c>
      <c r="R18" s="98"/>
      <c r="S18" s="98"/>
      <c r="T18" s="98"/>
      <c r="U18" s="98"/>
      <c r="V18" s="98"/>
      <c r="W18" s="103"/>
      <c r="X18" s="72"/>
    </row>
    <row x14ac:dyDescent="0.25" r="19" customHeight="1" ht="27.75">
      <c r="A19" s="30"/>
      <c r="B19" s="213"/>
      <c r="C19" s="3"/>
      <c r="D19" s="33"/>
      <c r="E19" s="33"/>
      <c r="F19" s="33"/>
      <c r="G19" s="33"/>
      <c r="H19" s="112" t="s">
        <v>129</v>
      </c>
      <c r="I19" s="113" t="s">
        <v>148</v>
      </c>
      <c r="J19" s="217" t="s">
        <v>110</v>
      </c>
      <c r="K19" s="296"/>
      <c r="L19" s="296"/>
      <c r="M19" s="296"/>
      <c r="N19" s="296"/>
      <c r="O19" s="98"/>
      <c r="P19" s="98"/>
      <c r="Q19" s="98"/>
      <c r="R19" s="98"/>
      <c r="S19" s="98"/>
      <c r="T19" s="98"/>
      <c r="U19" s="98"/>
      <c r="V19" s="98"/>
      <c r="W19" s="103"/>
      <c r="X19" s="72"/>
    </row>
    <row x14ac:dyDescent="0.25" r="20" customHeight="1" ht="18.75" hidden="1">
      <c r="A20" s="108"/>
      <c r="B20" s="109">
        <f>B15+#REF!</f>
      </c>
      <c r="C20" s="3"/>
      <c r="D20" s="110"/>
      <c r="E20" s="110"/>
      <c r="F20" s="110"/>
      <c r="G20" s="111"/>
      <c r="H20" s="112" t="s">
        <v>99</v>
      </c>
      <c r="I20" s="113" t="s">
        <v>138</v>
      </c>
      <c r="J20" s="220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103"/>
      <c r="X20" s="65"/>
    </row>
    <row x14ac:dyDescent="0.25" r="21" customHeight="1" ht="18.75" hidden="1">
      <c r="A21" s="114"/>
      <c r="B21" s="115">
        <v>1</v>
      </c>
      <c r="C21" s="3"/>
      <c r="D21" s="110"/>
      <c r="E21" s="110"/>
      <c r="F21" s="110"/>
      <c r="G21" s="111"/>
      <c r="H21" s="112"/>
      <c r="I21" s="144"/>
      <c r="J21" s="220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103"/>
      <c r="X21" s="72"/>
    </row>
    <row x14ac:dyDescent="0.25" r="22" customHeight="1" ht="27.75">
      <c r="A22" s="124"/>
      <c r="B22" s="126"/>
      <c r="C22" s="3"/>
      <c r="D22" s="110"/>
      <c r="E22" s="110"/>
      <c r="F22" s="110"/>
      <c r="G22" s="111"/>
      <c r="H22" s="112" t="s">
        <v>92</v>
      </c>
      <c r="I22" s="113" t="s">
        <v>48</v>
      </c>
      <c r="J22" s="220"/>
      <c r="K22" s="98"/>
      <c r="L22" s="98" t="s">
        <v>50</v>
      </c>
      <c r="M22" s="98" t="s">
        <v>50</v>
      </c>
      <c r="N22" s="98" t="s">
        <v>50</v>
      </c>
      <c r="O22" s="98" t="s">
        <v>54</v>
      </c>
      <c r="P22" s="98" t="s">
        <v>61</v>
      </c>
      <c r="Q22" s="98" t="s">
        <v>50</v>
      </c>
      <c r="R22" s="98" t="s">
        <v>50</v>
      </c>
      <c r="S22" s="98" t="s">
        <v>50</v>
      </c>
      <c r="T22" s="98"/>
      <c r="U22" s="98"/>
      <c r="V22" s="98"/>
      <c r="W22" s="103"/>
      <c r="X22" s="294"/>
    </row>
    <row x14ac:dyDescent="0.25" r="23" customHeight="1" ht="27.75">
      <c r="A23" s="119" t="s">
        <v>64</v>
      </c>
      <c r="B23" s="120"/>
      <c r="C23" s="3"/>
      <c r="D23" s="110"/>
      <c r="E23" s="110"/>
      <c r="F23" s="110"/>
      <c r="G23" s="111"/>
      <c r="H23" s="112" t="s">
        <v>94</v>
      </c>
      <c r="I23" s="113" t="s">
        <v>161</v>
      </c>
      <c r="J23" s="220"/>
      <c r="K23" s="98"/>
      <c r="L23" s="98" t="s">
        <v>51</v>
      </c>
      <c r="M23" s="138"/>
      <c r="N23" s="138"/>
      <c r="O23" s="138"/>
      <c r="P23" s="138"/>
      <c r="Q23" s="138"/>
      <c r="R23" s="138"/>
      <c r="S23" s="98"/>
      <c r="T23" s="98"/>
      <c r="U23" s="98"/>
      <c r="V23" s="98"/>
      <c r="W23" s="103"/>
      <c r="X23" s="294"/>
    </row>
    <row x14ac:dyDescent="0.25" r="24" customHeight="1" ht="27.75">
      <c r="A24" s="119" t="s">
        <v>66</v>
      </c>
      <c r="B24" s="120"/>
      <c r="C24" s="3"/>
      <c r="D24" s="110"/>
      <c r="E24" s="110"/>
      <c r="F24" s="110"/>
      <c r="G24" s="111"/>
      <c r="H24" s="112" t="s">
        <v>77</v>
      </c>
      <c r="I24" s="113" t="s">
        <v>56</v>
      </c>
      <c r="J24" s="220"/>
      <c r="K24" s="100"/>
      <c r="L24" s="98"/>
      <c r="M24" s="98" t="s">
        <v>54</v>
      </c>
      <c r="N24" s="121" t="s">
        <v>57</v>
      </c>
      <c r="O24" s="121"/>
      <c r="P24" s="121"/>
      <c r="Q24" s="121"/>
      <c r="R24" s="98"/>
      <c r="S24" s="98"/>
      <c r="T24" s="98"/>
      <c r="U24" s="98"/>
      <c r="V24" s="98"/>
      <c r="W24" s="103"/>
      <c r="X24" s="294"/>
    </row>
    <row x14ac:dyDescent="0.25" r="25" customHeight="1" ht="27.75">
      <c r="A25" s="119" t="s">
        <v>124</v>
      </c>
      <c r="B25" s="120"/>
      <c r="C25" s="3"/>
      <c r="D25" s="110"/>
      <c r="E25" s="110"/>
      <c r="F25" s="110"/>
      <c r="G25" s="111"/>
      <c r="H25" s="112" t="s">
        <v>123</v>
      </c>
      <c r="I25" s="113" t="s">
        <v>63</v>
      </c>
      <c r="J25" s="220"/>
      <c r="K25" s="155"/>
      <c r="L25" s="98"/>
      <c r="M25" s="98"/>
      <c r="N25" s="121" t="s">
        <v>61</v>
      </c>
      <c r="O25" s="121" t="s">
        <v>61</v>
      </c>
      <c r="P25" s="121" t="s">
        <v>54</v>
      </c>
      <c r="Q25" s="105" t="s">
        <v>54</v>
      </c>
      <c r="R25" s="105" t="s">
        <v>57</v>
      </c>
      <c r="S25" s="98"/>
      <c r="T25" s="98"/>
      <c r="U25" s="98"/>
      <c r="V25" s="98"/>
      <c r="W25" s="103"/>
      <c r="X25" s="294"/>
    </row>
    <row x14ac:dyDescent="0.25" r="26" customHeight="1" ht="27.75">
      <c r="A26" s="129"/>
      <c r="B26" s="2"/>
      <c r="C26" s="3"/>
      <c r="D26" s="110"/>
      <c r="E26" s="110"/>
      <c r="F26" s="110"/>
      <c r="G26" s="111"/>
      <c r="H26" s="112" t="s">
        <v>47</v>
      </c>
      <c r="I26" s="113" t="s">
        <v>101</v>
      </c>
      <c r="J26" s="217"/>
      <c r="K26" s="98"/>
      <c r="L26" s="98"/>
      <c r="M26" s="98"/>
      <c r="N26" s="98"/>
      <c r="O26" s="98" t="s">
        <v>50</v>
      </c>
      <c r="P26" s="99" t="s">
        <v>50</v>
      </c>
      <c r="Q26" s="286" t="s">
        <v>61</v>
      </c>
      <c r="R26" s="122" t="s">
        <v>61</v>
      </c>
      <c r="S26" s="286" t="s">
        <v>61</v>
      </c>
      <c r="T26" s="99" t="s">
        <v>50</v>
      </c>
      <c r="U26" s="99" t="s">
        <v>50</v>
      </c>
      <c r="V26" s="99" t="s">
        <v>50</v>
      </c>
      <c r="W26" s="103"/>
      <c r="X26" s="294"/>
    </row>
    <row x14ac:dyDescent="0.25" r="27" customHeight="1" ht="27.75">
      <c r="A27" s="297"/>
      <c r="B27" s="298"/>
      <c r="C27" s="3"/>
      <c r="D27" s="110"/>
      <c r="E27" s="110"/>
      <c r="F27" s="110"/>
      <c r="G27" s="111"/>
      <c r="H27" s="112" t="s">
        <v>60</v>
      </c>
      <c r="I27" s="113" t="s">
        <v>126</v>
      </c>
      <c r="J27" s="217"/>
      <c r="K27" s="98"/>
      <c r="L27" s="98"/>
      <c r="M27" s="98"/>
      <c r="N27" s="98"/>
      <c r="O27" s="98"/>
      <c r="P27" s="98" t="s">
        <v>52</v>
      </c>
      <c r="Q27" s="121" t="s">
        <v>52</v>
      </c>
      <c r="R27" s="121" t="s">
        <v>54</v>
      </c>
      <c r="S27" s="106" t="s">
        <v>54</v>
      </c>
      <c r="T27" s="106" t="s">
        <v>54</v>
      </c>
      <c r="U27" s="98"/>
      <c r="V27" s="98"/>
      <c r="W27" s="103"/>
      <c r="X27" s="294"/>
    </row>
    <row x14ac:dyDescent="0.25" r="28" customHeight="1" ht="27.75">
      <c r="A28" s="142"/>
      <c r="B28" s="281"/>
      <c r="C28" s="3"/>
      <c r="D28" s="110"/>
      <c r="E28" s="110"/>
      <c r="F28" s="110"/>
      <c r="G28" s="111"/>
      <c r="H28" s="112" t="s">
        <v>105</v>
      </c>
      <c r="I28" s="113" t="s">
        <v>127</v>
      </c>
      <c r="J28" s="220"/>
      <c r="K28" s="98"/>
      <c r="L28" s="98"/>
      <c r="M28" s="98"/>
      <c r="N28" s="98"/>
      <c r="O28" s="98"/>
      <c r="P28" s="98"/>
      <c r="Q28" s="98"/>
      <c r="R28" s="98" t="s">
        <v>57</v>
      </c>
      <c r="S28" s="121"/>
      <c r="T28" s="121"/>
      <c r="U28" s="121"/>
      <c r="V28" s="121"/>
      <c r="W28" s="299" t="s">
        <v>74</v>
      </c>
      <c r="X28" s="141">
        <f>COUNTIF(#REF!,$R$46)+COUNTIF(#REF!,$S$46)+COUNTIF(#REF!,$M$46)+COUNTIF(#REF!,$N$46)+COUNTIF(#REF!,$O$46)+COUNTIF(#REF!,$P$46)+COUNTIF(#REF!,$Q$46)</f>
      </c>
    </row>
    <row x14ac:dyDescent="0.25" r="29" customHeight="1" ht="27.75">
      <c r="A29" s="142"/>
      <c r="B29" s="281"/>
      <c r="C29" s="136"/>
      <c r="D29" s="110"/>
      <c r="E29" s="110"/>
      <c r="F29" s="110"/>
      <c r="G29" s="111"/>
      <c r="H29" s="112" t="s">
        <v>55</v>
      </c>
      <c r="I29" s="113" t="s">
        <v>127</v>
      </c>
      <c r="J29" s="220"/>
      <c r="K29" s="98"/>
      <c r="L29" s="98"/>
      <c r="M29" s="98"/>
      <c r="N29" s="98"/>
      <c r="O29" s="98"/>
      <c r="P29" s="98"/>
      <c r="Q29" s="98"/>
      <c r="R29" s="98" t="s">
        <v>54</v>
      </c>
      <c r="S29" s="106"/>
      <c r="T29" s="106"/>
      <c r="U29" s="106"/>
      <c r="V29" s="106"/>
      <c r="W29" s="103"/>
      <c r="X29" s="141">
        <f>COUNTIF(#REF!,$R$46)+COUNTIF(#REF!,$S$46)+COUNTIF(#REF!,$M$46)+COUNTIF(#REF!,$N$46)+COUNTIF(#REF!,$O$46)+COUNTIF(#REF!,$P$46)+COUNTIF(#REF!,$Q$46)</f>
      </c>
    </row>
    <row x14ac:dyDescent="0.25" r="30" customHeight="1" ht="27.75">
      <c r="A30" s="142"/>
      <c r="B30" s="281"/>
      <c r="C30" s="136"/>
      <c r="D30" s="110"/>
      <c r="E30" s="110"/>
      <c r="F30" s="110"/>
      <c r="G30" s="111"/>
      <c r="H30" s="112" t="s">
        <v>76</v>
      </c>
      <c r="I30" s="113" t="s">
        <v>127</v>
      </c>
      <c r="J30" s="220"/>
      <c r="K30" s="98"/>
      <c r="L30" s="98"/>
      <c r="M30" s="98"/>
      <c r="N30" s="98"/>
      <c r="O30" s="98"/>
      <c r="P30" s="98"/>
      <c r="Q30" s="98"/>
      <c r="R30" s="98" t="s">
        <v>61</v>
      </c>
      <c r="S30" s="105"/>
      <c r="T30" s="105"/>
      <c r="U30" s="105"/>
      <c r="V30" s="105"/>
      <c r="W30" s="103"/>
      <c r="X30" s="141">
        <f>COUNTIF(K30:V30,$R$46)+COUNTIF(K30:V30,$S$46)+COUNTIF(K30:V30,$M$46)+COUNTIF(K30:V30,$N$46)+COUNTIF(K30:V30,$O$46)+COUNTIF(K30:V30,$P$46)+COUNTIF(K30:V30,$Q$46)</f>
      </c>
    </row>
    <row x14ac:dyDescent="0.25" r="31" customHeight="1" ht="27.75">
      <c r="A31" s="134" t="s">
        <v>112</v>
      </c>
      <c r="B31" s="282"/>
      <c r="C31" s="136"/>
      <c r="D31" s="110"/>
      <c r="E31" s="110"/>
      <c r="F31" s="110"/>
      <c r="G31" s="111"/>
      <c r="H31" s="112" t="s">
        <v>107</v>
      </c>
      <c r="I31" s="113" t="s">
        <v>128</v>
      </c>
      <c r="J31" s="144"/>
      <c r="K31" s="100"/>
      <c r="L31" s="100"/>
      <c r="M31" s="100"/>
      <c r="N31" s="100"/>
      <c r="O31" s="100"/>
      <c r="P31" s="100"/>
      <c r="Q31" s="100"/>
      <c r="R31" s="100" t="s">
        <v>116</v>
      </c>
      <c r="S31" s="242"/>
      <c r="T31" s="242"/>
      <c r="U31" s="242"/>
      <c r="V31" s="242"/>
      <c r="W31" s="103"/>
      <c r="X31" s="141">
        <f>COUNTIF(#REF!,$R$46)+COUNTIF(#REF!,$S$46)+COUNTIF(#REF!,$M$46)+COUNTIF(#REF!,$N$46)+COUNTIF(#REF!,$O$46)+COUNTIF(#REF!,$P$46)+COUNTIF(#REF!,$Q$46)</f>
      </c>
    </row>
    <row x14ac:dyDescent="0.25" r="32" customHeight="1" ht="27.75">
      <c r="A32" s="142"/>
      <c r="B32" s="281"/>
      <c r="C32" s="136"/>
      <c r="D32" s="110"/>
      <c r="E32" s="110"/>
      <c r="F32" s="110"/>
      <c r="G32" s="111"/>
      <c r="H32" s="112" t="s">
        <v>143</v>
      </c>
      <c r="I32" s="113" t="s">
        <v>128</v>
      </c>
      <c r="J32" s="220"/>
      <c r="K32" s="98"/>
      <c r="L32" s="98"/>
      <c r="M32" s="98"/>
      <c r="N32" s="100"/>
      <c r="O32" s="100"/>
      <c r="P32" s="100"/>
      <c r="Q32" s="100"/>
      <c r="R32" s="100" t="s">
        <v>116</v>
      </c>
      <c r="S32" s="242"/>
      <c r="T32" s="242"/>
      <c r="U32" s="242"/>
      <c r="V32" s="242"/>
      <c r="W32" s="103"/>
      <c r="X32" s="141">
        <f>COUNTIF(K31:V31,$R$46)+COUNTIF(K31:V31,$S$46)+COUNTIF(K31:V31,$M$46)+COUNTIF(K31:V31,$N$46)+COUNTIF(K31:V31,$O$46)+COUNTIF(K31:V31,$P$46)+COUNTIF(K31:V31,$Q$46)</f>
      </c>
    </row>
    <row x14ac:dyDescent="0.25" r="33" customHeight="1" ht="27.75">
      <c r="A33" s="142"/>
      <c r="B33" s="281"/>
      <c r="C33" s="136"/>
      <c r="D33" s="110"/>
      <c r="E33" s="110"/>
      <c r="F33" s="110"/>
      <c r="G33" s="111"/>
      <c r="H33" s="112"/>
      <c r="I33" s="144"/>
      <c r="J33" s="144"/>
      <c r="K33" s="100"/>
      <c r="L33" s="100"/>
      <c r="M33" s="100"/>
      <c r="N33" s="145"/>
      <c r="O33" s="100"/>
      <c r="P33" s="100"/>
      <c r="Q33" s="145"/>
      <c r="R33" s="145"/>
      <c r="S33" s="100"/>
      <c r="T33" s="100"/>
      <c r="U33" s="100"/>
      <c r="V33" s="100"/>
      <c r="W33" s="103"/>
      <c r="X33" s="141">
        <f>COUNTIF(K32:V32,$R$46)+COUNTIF(K32:V32,$S$46)+COUNTIF(K32:V32,$M$46)+COUNTIF(K32:V32,$N$46)+COUNTIF(K32:V32,$O$46)+COUNTIF(K32:V32,$P$46)+COUNTIF(K32:V32,$Q$46)</f>
      </c>
    </row>
    <row x14ac:dyDescent="0.25" r="34" customHeight="1" ht="27.75">
      <c r="A34" s="134" t="s">
        <v>113</v>
      </c>
      <c r="B34" s="282"/>
      <c r="C34" s="136"/>
      <c r="D34" s="110"/>
      <c r="E34" s="110"/>
      <c r="F34" s="110"/>
      <c r="G34" s="111"/>
      <c r="H34" s="112"/>
      <c r="I34" s="144"/>
      <c r="J34" s="144"/>
      <c r="K34" s="100"/>
      <c r="L34" s="100"/>
      <c r="M34" s="100"/>
      <c r="N34" s="145"/>
      <c r="O34" s="100"/>
      <c r="P34" s="100"/>
      <c r="Q34" s="145"/>
      <c r="R34" s="145"/>
      <c r="S34" s="100"/>
      <c r="T34" s="100"/>
      <c r="U34" s="100"/>
      <c r="V34" s="100"/>
      <c r="W34" s="103"/>
      <c r="X34" s="141">
        <f>COUNTIF(K33:V33,$R$46)+COUNTIF(K33:V33,$S$46)+COUNTIF(K33:V33,$M$46)+COUNTIF(K33:V33,$N$46)+COUNTIF(K33:V33,$O$46)+COUNTIF(K33:V33,$P$46)+COUNTIF(K33:V33,$Q$46)</f>
      </c>
    </row>
    <row x14ac:dyDescent="0.25" r="35" customHeight="1" ht="27.75">
      <c r="A35" s="142"/>
      <c r="B35" s="281"/>
      <c r="C35" s="136"/>
      <c r="D35" s="110"/>
      <c r="E35" s="110"/>
      <c r="F35" s="110"/>
      <c r="G35" s="111"/>
      <c r="H35" s="112"/>
      <c r="I35" s="144"/>
      <c r="J35" s="144"/>
      <c r="K35" s="100"/>
      <c r="L35" s="100"/>
      <c r="M35" s="100"/>
      <c r="N35" s="145"/>
      <c r="O35" s="100"/>
      <c r="P35" s="100"/>
      <c r="Q35" s="145"/>
      <c r="R35" s="145"/>
      <c r="S35" s="100"/>
      <c r="T35" s="100"/>
      <c r="U35" s="100"/>
      <c r="V35" s="100"/>
      <c r="W35" s="103"/>
      <c r="X35" s="141">
        <f>COUNTIF(K34:V34,$R$46)+COUNTIF(K34:V34,$S$46)+COUNTIF(K34:V34,$M$46)+COUNTIF(K34:V34,$N$46)+COUNTIF(K34:V34,$O$46)+COUNTIF(K34:V34,$P$46)+COUNTIF(K34:V34,$Q$46)</f>
      </c>
    </row>
    <row x14ac:dyDescent="0.25" r="36" customHeight="1" ht="27.75">
      <c r="A36" s="142"/>
      <c r="B36" s="281"/>
      <c r="C36" s="136"/>
      <c r="D36" s="110"/>
      <c r="E36" s="110"/>
      <c r="F36" s="110"/>
      <c r="G36" s="111"/>
      <c r="H36" s="112"/>
      <c r="I36" s="144"/>
      <c r="J36" s="144"/>
      <c r="K36" s="100"/>
      <c r="L36" s="100"/>
      <c r="M36" s="100"/>
      <c r="N36" s="145"/>
      <c r="O36" s="100"/>
      <c r="P36" s="100"/>
      <c r="Q36" s="145"/>
      <c r="R36" s="145"/>
      <c r="S36" s="100"/>
      <c r="T36" s="100"/>
      <c r="U36" s="100"/>
      <c r="V36" s="100"/>
      <c r="W36" s="103"/>
      <c r="X36" s="141">
        <f>COUNTIF(K35:V35,$R$46)+COUNTIF(K35:V35,$S$46)+COUNTIF(K35:V35,$M$46)+COUNTIF(K35:V35,$N$46)+COUNTIF(K35:V35,$O$46)+COUNTIF(K35:V35,$P$46)+COUNTIF(K35:V35,$Q$46)</f>
      </c>
    </row>
    <row x14ac:dyDescent="0.25" r="37" customHeight="1" ht="27.75">
      <c r="A37" s="134" t="s">
        <v>114</v>
      </c>
      <c r="B37" s="282"/>
      <c r="C37" s="136"/>
      <c r="D37" s="110"/>
      <c r="E37" s="110"/>
      <c r="F37" s="110"/>
      <c r="G37" s="111"/>
      <c r="H37" s="112"/>
      <c r="I37" s="144"/>
      <c r="J37" s="144"/>
      <c r="K37" s="100"/>
      <c r="L37" s="100"/>
      <c r="M37" s="100"/>
      <c r="N37" s="145"/>
      <c r="O37" s="100"/>
      <c r="P37" s="100"/>
      <c r="Q37" s="145"/>
      <c r="R37" s="145"/>
      <c r="S37" s="100"/>
      <c r="T37" s="100"/>
      <c r="U37" s="100"/>
      <c r="V37" s="100"/>
      <c r="W37" s="103"/>
      <c r="X37" s="141">
        <f>COUNTIF(K36:V36,$R$46)+COUNTIF(K36:V36,$S$46)+COUNTIF(K36:V36,$M$46)+COUNTIF(K36:V36,$N$46)+COUNTIF(K36:V36,$O$46)+COUNTIF(K36:V36,$P$46)+COUNTIF(K36:V36,$Q$46)</f>
      </c>
    </row>
    <row x14ac:dyDescent="0.25" r="38" customHeight="1" ht="27.75">
      <c r="A38" s="142"/>
      <c r="B38" s="281"/>
      <c r="C38" s="136"/>
      <c r="D38" s="110"/>
      <c r="E38" s="110"/>
      <c r="F38" s="110"/>
      <c r="G38" s="111"/>
      <c r="H38" s="112"/>
      <c r="I38" s="144"/>
      <c r="J38" s="144"/>
      <c r="K38" s="100"/>
      <c r="L38" s="100"/>
      <c r="M38" s="100"/>
      <c r="N38" s="145"/>
      <c r="O38" s="100"/>
      <c r="P38" s="100"/>
      <c r="Q38" s="145"/>
      <c r="R38" s="145"/>
      <c r="S38" s="100"/>
      <c r="T38" s="100"/>
      <c r="U38" s="100"/>
      <c r="V38" s="100"/>
      <c r="W38" s="103"/>
      <c r="X38" s="141">
        <f>COUNTIF(K37:V37,$R$46)+COUNTIF(K37:V37,$S$46)+COUNTIF(K37:V37,$M$46)+COUNTIF(K37:V37,$N$46)+COUNTIF(K37:V37,$O$46)+COUNTIF(K37:V37,$P$46)+COUNTIF(K37:V37,$Q$46)</f>
      </c>
    </row>
    <row x14ac:dyDescent="0.25" r="39" customHeight="1" ht="27.75">
      <c r="A39" s="142"/>
      <c r="B39" s="281"/>
      <c r="C39" s="136"/>
      <c r="D39" s="110"/>
      <c r="E39" s="110"/>
      <c r="F39" s="110"/>
      <c r="G39" s="111"/>
      <c r="H39" s="112"/>
      <c r="I39" s="144"/>
      <c r="J39" s="144"/>
      <c r="K39" s="100"/>
      <c r="L39" s="100"/>
      <c r="M39" s="100"/>
      <c r="N39" s="145"/>
      <c r="O39" s="100"/>
      <c r="P39" s="100"/>
      <c r="Q39" s="145"/>
      <c r="R39" s="145"/>
      <c r="S39" s="100"/>
      <c r="T39" s="100"/>
      <c r="U39" s="100"/>
      <c r="V39" s="100"/>
      <c r="W39" s="103"/>
      <c r="X39" s="141">
        <f>COUNTIF(#REF!,$R$46)+COUNTIF(#REF!,$S$46)+COUNTIF(#REF!,$M$46)+COUNTIF(#REF!,$N$46)+COUNTIF(#REF!,$O$46)+COUNTIF(#REF!,$P$46)+COUNTIF(#REF!,$Q$46)</f>
      </c>
    </row>
    <row x14ac:dyDescent="0.25" r="40" customHeight="1" ht="27.75">
      <c r="A40" s="134" t="s">
        <v>79</v>
      </c>
      <c r="B40" s="282"/>
      <c r="C40" s="136"/>
      <c r="D40" s="110"/>
      <c r="E40" s="110"/>
      <c r="F40" s="110"/>
      <c r="G40" s="111"/>
      <c r="H40" s="112"/>
      <c r="I40" s="144"/>
      <c r="J40" s="144"/>
      <c r="K40" s="193"/>
      <c r="L40" s="100"/>
      <c r="M40" s="100"/>
      <c r="N40" s="145"/>
      <c r="O40" s="100"/>
      <c r="P40" s="100"/>
      <c r="Q40" s="145"/>
      <c r="R40" s="145"/>
      <c r="S40" s="100"/>
      <c r="T40" s="100"/>
      <c r="U40" s="100"/>
      <c r="V40" s="100"/>
      <c r="W40" s="103"/>
      <c r="X40" s="141"/>
    </row>
    <row x14ac:dyDescent="0.25" r="41" customHeight="1" ht="27.75">
      <c r="A41" s="142"/>
      <c r="B41" s="281"/>
      <c r="C41" s="136"/>
      <c r="D41" s="110"/>
      <c r="E41" s="110"/>
      <c r="F41" s="110"/>
      <c r="G41" s="111"/>
      <c r="H41" s="112"/>
      <c r="I41" s="144"/>
      <c r="J41" s="144"/>
      <c r="K41" s="100"/>
      <c r="L41" s="100"/>
      <c r="M41" s="100"/>
      <c r="N41" s="145"/>
      <c r="O41" s="100"/>
      <c r="P41" s="100"/>
      <c r="Q41" s="145"/>
      <c r="R41" s="145"/>
      <c r="S41" s="100"/>
      <c r="T41" s="100"/>
      <c r="U41" s="100"/>
      <c r="V41" s="100"/>
      <c r="W41" s="103"/>
      <c r="X41" s="148"/>
    </row>
    <row x14ac:dyDescent="0.25" r="42" customHeight="1" ht="27.75">
      <c r="A42" s="142"/>
      <c r="B42" s="281"/>
      <c r="C42" s="136"/>
      <c r="D42" s="110"/>
      <c r="E42" s="110"/>
      <c r="F42" s="110"/>
      <c r="G42" s="111"/>
      <c r="H42" s="149"/>
      <c r="I42" s="153"/>
      <c r="J42" s="153"/>
      <c r="K42" s="158"/>
      <c r="L42" s="158"/>
      <c r="M42" s="158"/>
      <c r="N42" s="159"/>
      <c r="O42" s="158"/>
      <c r="P42" s="158"/>
      <c r="Q42" s="159"/>
      <c r="R42" s="159"/>
      <c r="S42" s="158"/>
      <c r="T42" s="158"/>
      <c r="U42" s="158"/>
      <c r="V42" s="158"/>
      <c r="W42" s="103"/>
      <c r="X42" s="151"/>
    </row>
    <row x14ac:dyDescent="0.25" r="43" customHeight="1" ht="27.75">
      <c r="A43" s="134" t="s">
        <v>82</v>
      </c>
      <c r="B43" s="282"/>
      <c r="C43" s="136"/>
      <c r="D43" s="110"/>
      <c r="E43" s="110"/>
      <c r="F43" s="110"/>
      <c r="G43" s="111"/>
      <c r="H43" s="152"/>
      <c r="I43" s="154"/>
      <c r="J43" s="154"/>
      <c r="K43" s="166"/>
      <c r="L43" s="166"/>
      <c r="M43" s="166"/>
      <c r="N43" s="167"/>
      <c r="O43" s="166"/>
      <c r="P43" s="166"/>
      <c r="Q43" s="167"/>
      <c r="R43" s="167"/>
      <c r="S43" s="166"/>
      <c r="T43" s="166"/>
      <c r="U43" s="166"/>
      <c r="V43" s="166"/>
      <c r="W43" s="162"/>
      <c r="X43" s="151"/>
    </row>
    <row x14ac:dyDescent="0.25" r="44" customHeight="1" ht="27.75">
      <c r="A44" s="142"/>
      <c r="B44" s="281"/>
      <c r="C44" s="136"/>
      <c r="D44" s="110"/>
      <c r="E44" s="110"/>
      <c r="F44" s="110"/>
      <c r="G44" s="111"/>
      <c r="H44" s="152"/>
      <c r="I44" s="154"/>
      <c r="J44" s="154"/>
      <c r="K44" s="166"/>
      <c r="L44" s="166"/>
      <c r="M44" s="166"/>
      <c r="N44" s="167"/>
      <c r="O44" s="166"/>
      <c r="P44" s="166"/>
      <c r="Q44" s="167"/>
      <c r="R44" s="167"/>
      <c r="S44" s="166"/>
      <c r="T44" s="166"/>
      <c r="U44" s="166"/>
      <c r="V44" s="166"/>
      <c r="W44" s="169"/>
      <c r="X44" s="151"/>
    </row>
    <row x14ac:dyDescent="0.25" r="45" customHeight="1" ht="27.75">
      <c r="A45" s="156"/>
      <c r="B45" s="283"/>
      <c r="C45" s="136"/>
      <c r="D45" s="110"/>
      <c r="E45" s="110"/>
      <c r="F45" s="110"/>
      <c r="G45" s="111"/>
      <c r="H45" s="152"/>
      <c r="I45" s="154"/>
      <c r="J45" s="154"/>
      <c r="K45" s="166"/>
      <c r="L45" s="166"/>
      <c r="M45" s="166"/>
      <c r="N45" s="167"/>
      <c r="O45" s="166"/>
      <c r="P45" s="166"/>
      <c r="Q45" s="167"/>
      <c r="R45" s="167"/>
      <c r="S45" s="166"/>
      <c r="T45" s="166"/>
      <c r="U45" s="166"/>
      <c r="V45" s="166"/>
      <c r="W45" s="169"/>
      <c r="X45" s="151"/>
    </row>
    <row x14ac:dyDescent="0.25" r="46" customHeight="1" ht="26.25">
      <c r="A46" s="163"/>
      <c r="B46" s="164"/>
      <c r="C46" s="136"/>
      <c r="D46" s="165"/>
      <c r="E46" s="165"/>
      <c r="F46" s="165"/>
      <c r="G46" s="165"/>
      <c r="H46" s="4"/>
      <c r="I46" s="152" t="s">
        <v>83</v>
      </c>
      <c r="J46" s="154"/>
      <c r="K46" s="208" t="s">
        <v>115</v>
      </c>
      <c r="L46" s="170" t="s">
        <v>50</v>
      </c>
      <c r="M46" s="171" t="s">
        <v>61</v>
      </c>
      <c r="N46" s="171" t="s">
        <v>54</v>
      </c>
      <c r="O46" s="171" t="s">
        <v>51</v>
      </c>
      <c r="P46" s="171" t="s">
        <v>84</v>
      </c>
      <c r="Q46" s="172" t="s">
        <v>52</v>
      </c>
      <c r="R46" s="172" t="s">
        <v>57</v>
      </c>
      <c r="S46" s="172" t="s">
        <v>69</v>
      </c>
      <c r="T46" s="209" t="s">
        <v>49</v>
      </c>
      <c r="U46" s="209" t="s">
        <v>110</v>
      </c>
      <c r="V46" s="209" t="s">
        <v>116</v>
      </c>
      <c r="W46" s="169"/>
      <c r="X46" s="151"/>
    </row>
    <row x14ac:dyDescent="0.25" r="47" customHeight="1" ht="26.25">
      <c r="A47" s="163"/>
      <c r="B47" s="164"/>
      <c r="C47" s="136"/>
      <c r="D47" s="165"/>
      <c r="E47" s="165"/>
      <c r="F47" s="165"/>
      <c r="G47" s="165"/>
      <c r="H47" s="4"/>
      <c r="I47" s="74"/>
      <c r="J47" s="74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2"/>
      <c r="X47" s="151"/>
    </row>
    <row x14ac:dyDescent="0.25" r="48" customHeight="1" ht="26.25">
      <c r="A48" s="163"/>
      <c r="B48" s="164"/>
      <c r="C48" s="136"/>
      <c r="D48" s="165"/>
      <c r="E48" s="165"/>
      <c r="F48" s="165"/>
      <c r="G48" s="165"/>
      <c r="H48" s="4"/>
      <c r="I48" s="74"/>
      <c r="J48" s="74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2"/>
      <c r="X48" s="151"/>
    </row>
    <row x14ac:dyDescent="0.25" r="49" customHeight="1" ht="18.75" hidden="1">
      <c r="A49" s="4"/>
      <c r="B49" s="2"/>
      <c r="C49" s="136"/>
      <c r="D49" s="4"/>
      <c r="E49" s="4"/>
      <c r="F49" s="4"/>
      <c r="G49" s="4"/>
      <c r="H49" s="4"/>
      <c r="I49" s="74"/>
      <c r="J49" s="74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2"/>
      <c r="X49" s="175">
        <f>COUNTIF(#REF!,$R$46)+COUNTIF(#REF!,$S$46)+COUNTIF(#REF!,$M$46)+COUNTIF(#REF!,$N$46)+COUNTIF(#REF!,$O$46)+COUNTIF(#REF!,$P$46)+COUNTIF(#REF!,$Q$46)</f>
      </c>
    </row>
  </sheetData>
  <mergeCells count="43">
    <mergeCell ref="H1:W1"/>
    <mergeCell ref="A2:B2"/>
    <mergeCell ref="H2:W2"/>
    <mergeCell ref="H3:I3"/>
    <mergeCell ref="H4:I4"/>
    <mergeCell ref="H5:I5"/>
    <mergeCell ref="D6:D19"/>
    <mergeCell ref="H6:I6"/>
    <mergeCell ref="H7:I7"/>
    <mergeCell ref="E8:E19"/>
    <mergeCell ref="F8:F19"/>
    <mergeCell ref="G8:G19"/>
    <mergeCell ref="H8:I8"/>
    <mergeCell ref="H9:I9"/>
    <mergeCell ref="H10:I10"/>
    <mergeCell ref="H11:I11"/>
    <mergeCell ref="H12:I12"/>
    <mergeCell ref="H13:I13"/>
    <mergeCell ref="A14:B14"/>
    <mergeCell ref="H14:I14"/>
    <mergeCell ref="H16:W16"/>
    <mergeCell ref="A23:B23"/>
    <mergeCell ref="A24:B24"/>
    <mergeCell ref="A25:B25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66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79" width="14.576428571428572" customWidth="1" bestFit="1"/>
    <col min="11" max="11" style="211" width="15.576428571428572" customWidth="1" bestFit="1"/>
    <col min="12" max="12" style="211" width="15.576428571428572" customWidth="1" bestFit="1"/>
    <col min="13" max="13" style="211" width="15.576428571428572" customWidth="1" bestFit="1"/>
    <col min="14" max="14" style="211" width="15.576428571428572" customWidth="1" bestFit="1"/>
    <col min="15" max="15" style="211" width="15.576428571428572" customWidth="1" bestFit="1"/>
    <col min="16" max="16" style="211" width="15.576428571428572" customWidth="1" bestFit="1"/>
    <col min="17" max="17" style="211" width="15.576428571428572" customWidth="1" bestFit="1"/>
    <col min="18" max="18" style="211" width="15.576428571428572" customWidth="1" bestFit="1"/>
    <col min="19" max="19" style="211" width="15.576428571428572" customWidth="1" bestFit="1"/>
    <col min="20" max="20" style="211" width="15.576428571428572" customWidth="1" bestFit="1"/>
    <col min="21" max="21" style="211" width="15.576428571428572" customWidth="1" bestFit="1"/>
    <col min="22" max="22" style="211" width="15.576428571428572" customWidth="1" bestFit="1"/>
    <col min="23" max="23" style="177" width="34.86214285714286" customWidth="1" bestFit="1"/>
    <col min="24" max="24" style="183" width="13.576428571428572" customWidth="1" bestFit="1" hidden="1"/>
  </cols>
  <sheetData>
    <row x14ac:dyDescent="0.25" r="1" customHeight="1" ht="88.5">
      <c r="A1" s="4"/>
      <c r="B1" s="2"/>
      <c r="C1" s="3"/>
      <c r="D1" s="4"/>
      <c r="E1" s="4"/>
      <c r="F1" s="4"/>
      <c r="G1" s="4"/>
      <c r="H1" s="5"/>
      <c r="I1" s="250"/>
      <c r="J1" s="250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2"/>
      <c r="X1" s="10"/>
    </row>
    <row x14ac:dyDescent="0.25" r="2" customHeight="1" ht="27.75">
      <c r="A2" s="11" t="s">
        <v>1</v>
      </c>
      <c r="B2" s="253"/>
      <c r="C2" s="3"/>
      <c r="D2" s="4"/>
      <c r="E2" s="4"/>
      <c r="F2" s="4"/>
      <c r="G2" s="4"/>
      <c r="H2" s="13" t="s">
        <v>2</v>
      </c>
      <c r="I2" s="254"/>
      <c r="J2" s="254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6"/>
      <c r="X2" s="19"/>
    </row>
    <row x14ac:dyDescent="0.25" r="3" customHeight="1" ht="27.75">
      <c r="A3" s="20" t="s">
        <v>3</v>
      </c>
      <c r="B3" s="21" t="s">
        <v>145</v>
      </c>
      <c r="C3" s="3"/>
      <c r="D3" s="4"/>
      <c r="E3" s="4"/>
      <c r="F3" s="4"/>
      <c r="G3" s="4"/>
      <c r="H3" s="23" t="s">
        <v>6</v>
      </c>
      <c r="I3" s="257"/>
      <c r="J3" s="258"/>
      <c r="K3" s="25" t="s">
        <v>86</v>
      </c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19"/>
    </row>
    <row x14ac:dyDescent="0.25" r="4" customHeight="1" ht="27.75">
      <c r="A4" s="30" t="s">
        <v>15</v>
      </c>
      <c r="B4" s="31">
        <v>9738</v>
      </c>
      <c r="C4" s="32"/>
      <c r="D4" s="34"/>
      <c r="E4" s="34"/>
      <c r="F4" s="34"/>
      <c r="G4" s="34"/>
      <c r="H4" s="35" t="s">
        <v>16</v>
      </c>
      <c r="I4" s="259"/>
      <c r="J4" s="260"/>
      <c r="K4" s="37"/>
      <c r="L4" s="37">
        <v>0.01</v>
      </c>
      <c r="M4" s="37">
        <v>0.05</v>
      </c>
      <c r="N4" s="37">
        <v>0.08</v>
      </c>
      <c r="O4" s="37">
        <v>0.12</v>
      </c>
      <c r="P4" s="37">
        <v>0.12</v>
      </c>
      <c r="Q4" s="37">
        <v>0.15</v>
      </c>
      <c r="R4" s="37">
        <v>0.15</v>
      </c>
      <c r="S4" s="37">
        <v>0.12</v>
      </c>
      <c r="T4" s="37">
        <v>0.09</v>
      </c>
      <c r="U4" s="37">
        <v>0.07</v>
      </c>
      <c r="V4" s="37">
        <v>0.04</v>
      </c>
      <c r="W4" s="38" t="s">
        <v>17</v>
      </c>
      <c r="X4" s="28"/>
    </row>
    <row x14ac:dyDescent="0.25" r="5" customHeight="1" ht="27.75">
      <c r="A5" s="30" t="s">
        <v>18</v>
      </c>
      <c r="B5" s="31">
        <v>10000</v>
      </c>
      <c r="C5" s="3"/>
      <c r="D5" s="34"/>
      <c r="E5" s="34"/>
      <c r="F5" s="34"/>
      <c r="G5" s="34"/>
      <c r="H5" s="39" t="s">
        <v>20</v>
      </c>
      <c r="I5" s="39"/>
      <c r="J5" s="261"/>
      <c r="K5" s="41">
        <f>K4*B4</f>
      </c>
      <c r="L5" s="41">
        <f>SUM(K$4:L$4)*$B$4</f>
      </c>
      <c r="M5" s="41">
        <f>SUM(K4:M4)*$B$4</f>
      </c>
      <c r="N5" s="41">
        <f>SUM(K4:N4)*$B$4</f>
      </c>
      <c r="O5" s="41">
        <f>SUM(K4:O4)*$B$4</f>
      </c>
      <c r="P5" s="41">
        <f>SUM(K4:P4)*$B$4</f>
      </c>
      <c r="Q5" s="41">
        <f>SUM(K4:Q4)*$B$4</f>
      </c>
      <c r="R5" s="41">
        <f>SUM(K4:R4)*$B$4</f>
      </c>
      <c r="S5" s="41">
        <f>SUM(K4:S4)*$B$4</f>
      </c>
      <c r="T5" s="41">
        <f>SUM(K4:T4)*$B$4</f>
      </c>
      <c r="U5" s="41">
        <f>SUM(K4:U4)*$B$4</f>
      </c>
      <c r="V5" s="41">
        <f>SUM(K4:V4)*$B$4</f>
      </c>
      <c r="W5" s="42"/>
      <c r="X5" s="28"/>
    </row>
    <row x14ac:dyDescent="0.25" r="6" customHeight="1" ht="27.75">
      <c r="A6" s="30" t="s">
        <v>21</v>
      </c>
      <c r="B6" s="31">
        <v>8000</v>
      </c>
      <c r="C6" s="43">
        <f>B5/B4</f>
      </c>
      <c r="D6" s="22" t="s">
        <v>5</v>
      </c>
      <c r="E6" s="44"/>
      <c r="F6" s="44"/>
      <c r="G6" s="44"/>
      <c r="H6" s="39" t="s">
        <v>22</v>
      </c>
      <c r="I6" s="39"/>
      <c r="J6" s="261"/>
      <c r="K6" s="41">
        <f>K4*B5</f>
      </c>
      <c r="L6" s="41">
        <f>SUM(K4:L4)*$B$5</f>
      </c>
      <c r="M6" s="41">
        <f>SUM(K4:M4)*$B$5</f>
      </c>
      <c r="N6" s="41">
        <f>SUM(K4:N4)*$B$5</f>
      </c>
      <c r="O6" s="41">
        <f>SUM(K4:O4)*$B$5</f>
      </c>
      <c r="P6" s="41">
        <f>SUM(K4:P4)*$B$5</f>
      </c>
      <c r="Q6" s="41">
        <f>SUM(K4:Q4)*$B$5</f>
      </c>
      <c r="R6" s="41">
        <f>SUM(K4:R4)*$B$5</f>
      </c>
      <c r="S6" s="41">
        <f>SUM(K4:S4)*$B$5</f>
      </c>
      <c r="T6" s="41">
        <f>SUM(K4:T4)*$B$5</f>
      </c>
      <c r="U6" s="41">
        <f>SUM(K4:U4)*$B$5</f>
      </c>
      <c r="V6" s="41">
        <f>SUM(K4:V4)*$B$5</f>
      </c>
      <c r="W6" s="42"/>
      <c r="X6" s="28"/>
    </row>
    <row x14ac:dyDescent="0.25" r="7" customHeight="1" ht="27.75">
      <c r="A7" s="30" t="s">
        <v>23</v>
      </c>
      <c r="B7" s="45">
        <v>360</v>
      </c>
      <c r="C7" s="3"/>
      <c r="D7" s="33"/>
      <c r="E7" s="34"/>
      <c r="F7" s="34"/>
      <c r="G7" s="34"/>
      <c r="H7" s="46" t="s">
        <v>26</v>
      </c>
      <c r="I7" s="46"/>
      <c r="J7" s="262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.75">
      <c r="A8" s="30" t="s">
        <v>27</v>
      </c>
      <c r="B8" s="49">
        <v>0.01</v>
      </c>
      <c r="C8" s="3"/>
      <c r="D8" s="33"/>
      <c r="E8" s="22" t="s">
        <v>19</v>
      </c>
      <c r="F8" s="22" t="s">
        <v>24</v>
      </c>
      <c r="G8" s="22" t="s">
        <v>25</v>
      </c>
      <c r="H8" s="50" t="s">
        <v>28</v>
      </c>
      <c r="I8" s="50"/>
      <c r="J8" s="263"/>
      <c r="K8" s="52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.75">
      <c r="A9" s="30" t="s">
        <v>29</v>
      </c>
      <c r="B9" s="53">
        <v>500</v>
      </c>
      <c r="C9" s="3"/>
      <c r="D9" s="33"/>
      <c r="E9" s="33"/>
      <c r="F9" s="33"/>
      <c r="G9" s="33"/>
      <c r="H9" s="46" t="s">
        <v>30</v>
      </c>
      <c r="I9" s="264"/>
      <c r="J9" s="26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.75">
      <c r="A10" s="30" t="s">
        <v>31</v>
      </c>
      <c r="B10" s="53"/>
      <c r="C10" s="3"/>
      <c r="D10" s="33"/>
      <c r="E10" s="33"/>
      <c r="F10" s="33"/>
      <c r="G10" s="33"/>
      <c r="H10" s="46" t="s">
        <v>32</v>
      </c>
      <c r="I10" s="46"/>
      <c r="J10" s="262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6"/>
      <c r="J11" s="262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.75">
      <c r="A12" s="30" t="s">
        <v>34</v>
      </c>
      <c r="B12" s="60">
        <v>2.3</v>
      </c>
      <c r="C12" s="29"/>
      <c r="D12" s="33"/>
      <c r="E12" s="33"/>
      <c r="F12" s="33"/>
      <c r="G12" s="33"/>
      <c r="H12" s="46" t="s">
        <v>35</v>
      </c>
      <c r="I12" s="46"/>
      <c r="J12" s="262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v>90</v>
      </c>
      <c r="C13" s="3"/>
      <c r="D13" s="33"/>
      <c r="E13" s="33"/>
      <c r="F13" s="33"/>
      <c r="G13" s="33"/>
      <c r="H13" s="46" t="s">
        <v>36</v>
      </c>
      <c r="I13" s="266"/>
      <c r="J13" s="26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7.75">
      <c r="A14" s="66" t="s">
        <v>37</v>
      </c>
      <c r="B14" s="268"/>
      <c r="C14" s="3"/>
      <c r="D14" s="33"/>
      <c r="E14" s="33"/>
      <c r="F14" s="33"/>
      <c r="G14" s="33"/>
      <c r="H14" s="68" t="s">
        <v>38</v>
      </c>
      <c r="I14" s="269"/>
      <c r="J14" s="2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.75">
      <c r="A15" s="20" t="s">
        <v>39</v>
      </c>
      <c r="B15" s="73">
        <v>453745</v>
      </c>
      <c r="C15" s="3"/>
      <c r="D15" s="33"/>
      <c r="E15" s="33"/>
      <c r="F15" s="33"/>
      <c r="G15" s="33"/>
      <c r="H15" s="4"/>
      <c r="I15" s="74"/>
      <c r="J15" s="74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2"/>
      <c r="X15" s="72"/>
    </row>
    <row x14ac:dyDescent="0.25" r="16" customHeight="1" ht="27.75">
      <c r="A16" s="30" t="s">
        <v>40</v>
      </c>
      <c r="B16" s="284"/>
      <c r="C16" s="3"/>
      <c r="D16" s="33"/>
      <c r="E16" s="33"/>
      <c r="F16" s="33"/>
      <c r="G16" s="33"/>
      <c r="H16" s="79" t="s">
        <v>41</v>
      </c>
      <c r="I16" s="271"/>
      <c r="J16" s="271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3"/>
      <c r="X16" s="65"/>
    </row>
    <row x14ac:dyDescent="0.25" r="17" customHeight="1" ht="27.75">
      <c r="A17" s="30" t="s">
        <v>42</v>
      </c>
      <c r="B17" s="213"/>
      <c r="C17" s="3"/>
      <c r="D17" s="33"/>
      <c r="E17" s="33"/>
      <c r="F17" s="33"/>
      <c r="G17" s="33"/>
      <c r="H17" s="196" t="s">
        <v>43</v>
      </c>
      <c r="I17" s="87" t="s">
        <v>44</v>
      </c>
      <c r="J17" s="87" t="s">
        <v>119</v>
      </c>
      <c r="K17" s="88">
        <f>K$3</f>
      </c>
      <c r="L17" s="88">
        <f>L$3</f>
      </c>
      <c r="M17" s="88">
        <f>M$3</f>
      </c>
      <c r="N17" s="88">
        <f>N$3</f>
      </c>
      <c r="O17" s="88">
        <f>O$3</f>
      </c>
      <c r="P17" s="88">
        <f>P$3</f>
      </c>
      <c r="Q17" s="88">
        <f>Q$3</f>
      </c>
      <c r="R17" s="88">
        <f>R$3</f>
      </c>
      <c r="S17" s="88">
        <f>S$3</f>
      </c>
      <c r="T17" s="88">
        <f>T$3</f>
      </c>
      <c r="U17" s="88">
        <f>U$3</f>
      </c>
      <c r="V17" s="88">
        <f>V$3</f>
      </c>
      <c r="W17" s="198" t="s">
        <v>46</v>
      </c>
      <c r="X17" s="72"/>
    </row>
    <row x14ac:dyDescent="0.25" r="18" customHeight="1" ht="27.75">
      <c r="A18" s="30" t="s">
        <v>121</v>
      </c>
      <c r="B18" s="92"/>
      <c r="C18" s="3"/>
      <c r="D18" s="33"/>
      <c r="E18" s="33"/>
      <c r="F18" s="33"/>
      <c r="G18" s="33"/>
      <c r="H18" s="112" t="s">
        <v>122</v>
      </c>
      <c r="I18" s="113" t="s">
        <v>146</v>
      </c>
      <c r="J18" s="217" t="s">
        <v>49</v>
      </c>
      <c r="K18" s="98" t="s">
        <v>110</v>
      </c>
      <c r="L18" s="98" t="s">
        <v>110</v>
      </c>
      <c r="M18" s="99" t="s">
        <v>110</v>
      </c>
      <c r="N18" s="98" t="s">
        <v>50</v>
      </c>
      <c r="O18" s="99" t="s">
        <v>50</v>
      </c>
      <c r="P18" s="98" t="s">
        <v>61</v>
      </c>
      <c r="Q18" s="122" t="s">
        <v>61</v>
      </c>
      <c r="R18" s="98"/>
      <c r="S18" s="98"/>
      <c r="T18" s="98"/>
      <c r="U18" s="98"/>
      <c r="V18" s="98"/>
      <c r="W18" s="206"/>
      <c r="X18" s="65"/>
    </row>
    <row x14ac:dyDescent="0.25" r="19" customHeight="1" ht="18.75" hidden="1">
      <c r="A19" s="108"/>
      <c r="B19" s="275">
        <f>B15+B18</f>
      </c>
      <c r="C19" s="3"/>
      <c r="D19" s="110"/>
      <c r="E19" s="110"/>
      <c r="F19" s="110"/>
      <c r="G19" s="111"/>
      <c r="H19" s="112" t="s">
        <v>53</v>
      </c>
      <c r="I19" s="113" t="s">
        <v>147</v>
      </c>
      <c r="J19" s="220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206"/>
      <c r="X19" s="65"/>
    </row>
    <row x14ac:dyDescent="0.25" r="20" customHeight="1" ht="18.75" hidden="1">
      <c r="A20" s="114"/>
      <c r="B20" s="115">
        <v>1</v>
      </c>
      <c r="C20" s="3"/>
      <c r="D20" s="110"/>
      <c r="E20" s="110"/>
      <c r="F20" s="110"/>
      <c r="G20" s="111"/>
      <c r="H20" s="112" t="s">
        <v>47</v>
      </c>
      <c r="I20" s="113" t="s">
        <v>101</v>
      </c>
      <c r="J20" s="220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206"/>
      <c r="X20" s="72"/>
    </row>
    <row x14ac:dyDescent="0.25" r="21" customHeight="1" ht="27.75">
      <c r="A21" s="114"/>
      <c r="B21" s="117"/>
      <c r="C21" s="3"/>
      <c r="D21" s="110"/>
      <c r="E21" s="110"/>
      <c r="F21" s="110"/>
      <c r="G21" s="111"/>
      <c r="H21" s="112" t="s">
        <v>58</v>
      </c>
      <c r="I21" s="113" t="s">
        <v>148</v>
      </c>
      <c r="J21" s="217" t="s">
        <v>110</v>
      </c>
      <c r="K21" s="98" t="s">
        <v>110</v>
      </c>
      <c r="L21" s="122"/>
      <c r="M21" s="122"/>
      <c r="N21" s="122"/>
      <c r="O21" s="98"/>
      <c r="P21" s="98"/>
      <c r="Q21" s="98"/>
      <c r="R21" s="98"/>
      <c r="S21" s="98"/>
      <c r="T21" s="98"/>
      <c r="U21" s="98"/>
      <c r="V21" s="98"/>
      <c r="W21" s="206"/>
      <c r="X21" s="72"/>
    </row>
    <row x14ac:dyDescent="0.25" r="22" customHeight="1" ht="27.75">
      <c r="A22" s="119" t="s">
        <v>64</v>
      </c>
      <c r="B22" s="120"/>
      <c r="C22" s="3"/>
      <c r="D22" s="110"/>
      <c r="E22" s="110"/>
      <c r="F22" s="110"/>
      <c r="G22" s="111"/>
      <c r="H22" s="112" t="s">
        <v>53</v>
      </c>
      <c r="I22" s="113" t="s">
        <v>48</v>
      </c>
      <c r="J22" s="217"/>
      <c r="K22" s="98"/>
      <c r="L22" s="98" t="s">
        <v>50</v>
      </c>
      <c r="M22" s="285"/>
      <c r="N22" s="98" t="s">
        <v>110</v>
      </c>
      <c r="O22" s="286"/>
      <c r="P22" s="286"/>
      <c r="Q22" s="286"/>
      <c r="R22" s="98" t="s">
        <v>50</v>
      </c>
      <c r="S22" s="99"/>
      <c r="T22" s="98"/>
      <c r="U22" s="98"/>
      <c r="V22" s="98"/>
      <c r="W22" s="206"/>
      <c r="X22" s="72"/>
    </row>
    <row x14ac:dyDescent="0.25" r="23" customHeight="1" ht="27.75">
      <c r="A23" s="119" t="s">
        <v>66</v>
      </c>
      <c r="B23" s="120"/>
      <c r="C23" s="3"/>
      <c r="D23" s="110"/>
      <c r="E23" s="110"/>
      <c r="F23" s="110"/>
      <c r="G23" s="111"/>
      <c r="H23" s="112" t="s">
        <v>67</v>
      </c>
      <c r="I23" s="113" t="s">
        <v>149</v>
      </c>
      <c r="J23" s="217"/>
      <c r="K23" s="98"/>
      <c r="L23" s="98"/>
      <c r="M23" s="287" t="s">
        <v>61</v>
      </c>
      <c r="N23" s="105"/>
      <c r="O23" s="105"/>
      <c r="P23" s="105"/>
      <c r="Q23" s="105"/>
      <c r="R23" s="98"/>
      <c r="S23" s="98"/>
      <c r="T23" s="98"/>
      <c r="U23" s="98"/>
      <c r="V23" s="98"/>
      <c r="W23" s="206"/>
      <c r="X23" s="72"/>
    </row>
    <row x14ac:dyDescent="0.25" r="24" customHeight="1" ht="27.75">
      <c r="A24" s="119" t="s">
        <v>124</v>
      </c>
      <c r="B24" s="120"/>
      <c r="C24" s="3"/>
      <c r="D24" s="110"/>
      <c r="E24" s="110"/>
      <c r="F24" s="110"/>
      <c r="G24" s="111"/>
      <c r="H24" s="112" t="s">
        <v>77</v>
      </c>
      <c r="I24" s="113" t="s">
        <v>150</v>
      </c>
      <c r="J24" s="217"/>
      <c r="K24" s="98"/>
      <c r="L24" s="98"/>
      <c r="M24" s="137"/>
      <c r="N24" s="286" t="s">
        <v>57</v>
      </c>
      <c r="O24" s="288"/>
      <c r="P24" s="288"/>
      <c r="Q24" s="288"/>
      <c r="R24" s="288"/>
      <c r="S24" s="98"/>
      <c r="T24" s="98"/>
      <c r="U24" s="98"/>
      <c r="V24" s="98"/>
      <c r="W24" s="206"/>
      <c r="X24" s="72"/>
    </row>
    <row x14ac:dyDescent="0.25" r="25" customHeight="1" ht="27.75">
      <c r="A25" s="132"/>
      <c r="B25" s="130"/>
      <c r="C25" s="3"/>
      <c r="D25" s="110"/>
      <c r="E25" s="110"/>
      <c r="F25" s="110"/>
      <c r="G25" s="111"/>
      <c r="H25" s="112" t="s">
        <v>78</v>
      </c>
      <c r="I25" s="113" t="s">
        <v>150</v>
      </c>
      <c r="J25" s="217"/>
      <c r="K25" s="98"/>
      <c r="L25" s="98"/>
      <c r="M25" s="137"/>
      <c r="N25" s="286" t="s">
        <v>54</v>
      </c>
      <c r="O25" s="106"/>
      <c r="P25" s="106"/>
      <c r="Q25" s="106"/>
      <c r="R25" s="106"/>
      <c r="S25" s="98"/>
      <c r="T25" s="98"/>
      <c r="U25" s="98"/>
      <c r="V25" s="98"/>
      <c r="W25" s="103"/>
      <c r="X25" s="72"/>
    </row>
    <row x14ac:dyDescent="0.25" r="26" customHeight="1" ht="27.75">
      <c r="A26" s="289"/>
      <c r="B26" s="130"/>
      <c r="C26" s="3"/>
      <c r="D26" s="110"/>
      <c r="E26" s="110"/>
      <c r="F26" s="110"/>
      <c r="G26" s="111"/>
      <c r="H26" s="112" t="s">
        <v>151</v>
      </c>
      <c r="I26" s="113" t="s">
        <v>150</v>
      </c>
      <c r="J26" s="217"/>
      <c r="K26" s="98"/>
      <c r="L26" s="98"/>
      <c r="M26" s="137"/>
      <c r="N26" s="286" t="s">
        <v>54</v>
      </c>
      <c r="O26" s="106"/>
      <c r="P26" s="106"/>
      <c r="Q26" s="106"/>
      <c r="R26" s="106"/>
      <c r="S26" s="98"/>
      <c r="T26" s="98"/>
      <c r="U26" s="98"/>
      <c r="V26" s="98"/>
      <c r="W26" s="103"/>
      <c r="X26" s="72"/>
    </row>
    <row x14ac:dyDescent="0.25" r="27" customHeight="1" ht="27.75">
      <c r="A27" s="289"/>
      <c r="B27" s="130"/>
      <c r="C27" s="3"/>
      <c r="D27" s="110"/>
      <c r="E27" s="110"/>
      <c r="F27" s="110"/>
      <c r="G27" s="111"/>
      <c r="H27" s="112" t="s">
        <v>152</v>
      </c>
      <c r="I27" s="113" t="s">
        <v>150</v>
      </c>
      <c r="J27" s="217"/>
      <c r="K27" s="98"/>
      <c r="L27" s="98"/>
      <c r="M27" s="137"/>
      <c r="N27" s="286" t="s">
        <v>110</v>
      </c>
      <c r="O27" s="286"/>
      <c r="P27" s="286"/>
      <c r="Q27" s="286"/>
      <c r="R27" s="286"/>
      <c r="S27" s="98"/>
      <c r="T27" s="98"/>
      <c r="U27" s="98"/>
      <c r="V27" s="98"/>
      <c r="W27" s="103"/>
      <c r="X27" s="72"/>
    </row>
    <row x14ac:dyDescent="0.25" r="28" customHeight="1" ht="27.75">
      <c r="A28" s="290"/>
      <c r="B28" s="133"/>
      <c r="C28" s="3"/>
      <c r="D28" s="110"/>
      <c r="E28" s="110"/>
      <c r="F28" s="110"/>
      <c r="G28" s="111"/>
      <c r="H28" s="112" t="s">
        <v>92</v>
      </c>
      <c r="I28" s="113" t="s">
        <v>101</v>
      </c>
      <c r="J28" s="220"/>
      <c r="K28" s="98"/>
      <c r="L28" s="98"/>
      <c r="M28" s="98"/>
      <c r="N28" s="98"/>
      <c r="O28" s="98" t="s">
        <v>54</v>
      </c>
      <c r="P28" s="98" t="s">
        <v>50</v>
      </c>
      <c r="Q28" s="99"/>
      <c r="R28" s="98" t="s">
        <v>51</v>
      </c>
      <c r="S28" s="138"/>
      <c r="T28" s="98" t="s">
        <v>50</v>
      </c>
      <c r="U28" s="99"/>
      <c r="V28" s="99"/>
      <c r="W28" s="206"/>
      <c r="X28" s="141"/>
    </row>
    <row x14ac:dyDescent="0.25" r="29" customHeight="1" ht="27.75">
      <c r="A29" s="290"/>
      <c r="B29" s="133"/>
      <c r="C29" s="3"/>
      <c r="D29" s="110"/>
      <c r="E29" s="110"/>
      <c r="F29" s="110"/>
      <c r="G29" s="111"/>
      <c r="H29" s="112" t="s">
        <v>97</v>
      </c>
      <c r="I29" s="113" t="s">
        <v>104</v>
      </c>
      <c r="J29" s="220"/>
      <c r="K29" s="98"/>
      <c r="L29" s="98"/>
      <c r="M29" s="98"/>
      <c r="N29" s="98"/>
      <c r="O29" s="98"/>
      <c r="P29" s="98" t="s">
        <v>52</v>
      </c>
      <c r="Q29" s="106" t="s">
        <v>52</v>
      </c>
      <c r="R29" s="98" t="s">
        <v>52</v>
      </c>
      <c r="S29" s="118"/>
      <c r="T29" s="118"/>
      <c r="U29" s="98"/>
      <c r="V29" s="98"/>
      <c r="W29" s="206"/>
      <c r="X29" s="141"/>
    </row>
    <row x14ac:dyDescent="0.25" r="30" customHeight="1" ht="27.75">
      <c r="A30" s="291"/>
      <c r="B30" s="292"/>
      <c r="C30" s="3"/>
      <c r="D30" s="110"/>
      <c r="E30" s="110"/>
      <c r="F30" s="110"/>
      <c r="G30" s="111"/>
      <c r="H30" s="112" t="s">
        <v>123</v>
      </c>
      <c r="I30" s="113" t="s">
        <v>106</v>
      </c>
      <c r="J30" s="220"/>
      <c r="K30" s="98"/>
      <c r="L30" s="98"/>
      <c r="M30" s="98"/>
      <c r="N30" s="98"/>
      <c r="O30" s="98"/>
      <c r="P30" s="98"/>
      <c r="Q30" s="98"/>
      <c r="R30" s="98" t="s">
        <v>54</v>
      </c>
      <c r="S30" s="106"/>
      <c r="T30" s="106"/>
      <c r="U30" s="106"/>
      <c r="V30" s="106"/>
      <c r="W30" s="103"/>
      <c r="X30" s="141"/>
    </row>
    <row x14ac:dyDescent="0.25" r="31" customHeight="1" ht="27.75">
      <c r="A31" s="142"/>
      <c r="B31" s="281"/>
      <c r="C31" s="3"/>
      <c r="D31" s="110"/>
      <c r="E31" s="110"/>
      <c r="F31" s="110"/>
      <c r="G31" s="111"/>
      <c r="H31" s="112" t="s">
        <v>72</v>
      </c>
      <c r="I31" s="113" t="s">
        <v>106</v>
      </c>
      <c r="J31" s="220"/>
      <c r="K31" s="98"/>
      <c r="L31" s="98"/>
      <c r="M31" s="98"/>
      <c r="N31" s="98"/>
      <c r="O31" s="98"/>
      <c r="P31" s="98"/>
      <c r="Q31" s="98"/>
      <c r="R31" s="98" t="s">
        <v>61</v>
      </c>
      <c r="S31" s="105"/>
      <c r="T31" s="105"/>
      <c r="U31" s="105"/>
      <c r="V31" s="105"/>
      <c r="W31" s="103"/>
      <c r="X31" s="141"/>
    </row>
    <row x14ac:dyDescent="0.25" r="32" customHeight="1" ht="27.75">
      <c r="A32" s="142"/>
      <c r="B32" s="281"/>
      <c r="C32" s="3"/>
      <c r="D32" s="110"/>
      <c r="E32" s="110"/>
      <c r="F32" s="110"/>
      <c r="G32" s="111"/>
      <c r="H32" s="112" t="s">
        <v>153</v>
      </c>
      <c r="I32" s="113" t="s">
        <v>106</v>
      </c>
      <c r="J32" s="220"/>
      <c r="K32" s="98"/>
      <c r="L32" s="98"/>
      <c r="M32" s="98"/>
      <c r="N32" s="98"/>
      <c r="O32" s="98"/>
      <c r="P32" s="98"/>
      <c r="Q32" s="98"/>
      <c r="R32" s="98" t="s">
        <v>57</v>
      </c>
      <c r="S32" s="121"/>
      <c r="T32" s="121"/>
      <c r="U32" s="121"/>
      <c r="V32" s="121"/>
      <c r="W32" s="103"/>
      <c r="X32" s="141"/>
    </row>
    <row x14ac:dyDescent="0.25" r="33" customHeight="1" ht="27.75">
      <c r="A33" s="142"/>
      <c r="B33" s="281"/>
      <c r="C33" s="3"/>
      <c r="D33" s="110"/>
      <c r="E33" s="110"/>
      <c r="F33" s="110"/>
      <c r="G33" s="111"/>
      <c r="H33" s="112" t="s">
        <v>108</v>
      </c>
      <c r="I33" s="113" t="s">
        <v>128</v>
      </c>
      <c r="J33" s="220"/>
      <c r="K33" s="98"/>
      <c r="L33" s="98"/>
      <c r="M33" s="98"/>
      <c r="N33" s="98"/>
      <c r="O33" s="98"/>
      <c r="P33" s="98"/>
      <c r="Q33" s="98"/>
      <c r="R33" s="98" t="s">
        <v>116</v>
      </c>
      <c r="S33" s="293"/>
      <c r="T33" s="242"/>
      <c r="U33" s="242"/>
      <c r="V33" s="242"/>
      <c r="W33" s="103"/>
      <c r="X33" s="141"/>
    </row>
    <row x14ac:dyDescent="0.25" r="34" customHeight="1" ht="27.75">
      <c r="A34" s="142"/>
      <c r="B34" s="281"/>
      <c r="C34" s="3"/>
      <c r="D34" s="110"/>
      <c r="E34" s="110"/>
      <c r="F34" s="110"/>
      <c r="G34" s="111"/>
      <c r="H34" s="112" t="s">
        <v>80</v>
      </c>
      <c r="I34" s="113" t="s">
        <v>128</v>
      </c>
      <c r="J34" s="220"/>
      <c r="K34" s="98"/>
      <c r="L34" s="98"/>
      <c r="M34" s="98"/>
      <c r="N34" s="98"/>
      <c r="O34" s="98"/>
      <c r="P34" s="98"/>
      <c r="Q34" s="98"/>
      <c r="R34" s="98" t="s">
        <v>116</v>
      </c>
      <c r="S34" s="293"/>
      <c r="T34" s="242"/>
      <c r="U34" s="242"/>
      <c r="V34" s="242"/>
      <c r="W34" s="103"/>
      <c r="X34" s="294" t="s">
        <v>154</v>
      </c>
    </row>
    <row x14ac:dyDescent="0.25" r="35" customHeight="1" ht="27.75">
      <c r="A35" s="142"/>
      <c r="B35" s="281"/>
      <c r="C35" s="3"/>
      <c r="D35" s="110"/>
      <c r="E35" s="110"/>
      <c r="F35" s="110"/>
      <c r="G35" s="111"/>
      <c r="H35" s="112"/>
      <c r="I35" s="144"/>
      <c r="J35" s="220"/>
      <c r="K35" s="98"/>
      <c r="L35" s="98"/>
      <c r="M35" s="98"/>
      <c r="N35" s="98"/>
      <c r="O35" s="98"/>
      <c r="P35" s="98"/>
      <c r="Q35" s="98"/>
      <c r="R35" s="98"/>
      <c r="S35" s="137"/>
      <c r="T35" s="98"/>
      <c r="U35" s="98"/>
      <c r="V35" s="98"/>
      <c r="W35" s="103"/>
      <c r="X35" s="141">
        <f>COUNTIF(#REF!,$R$50)+COUNTIF(#REF!,$S$50)+COUNTIF(#REF!,$M$50)+COUNTIF(#REF!,$N$50)+COUNTIF(#REF!,$O$50)+COUNTIF(#REF!,$P$50)+COUNTIF(#REF!,$Q$50)</f>
      </c>
    </row>
    <row x14ac:dyDescent="0.25" r="36" customHeight="1" ht="27.75">
      <c r="A36" s="142"/>
      <c r="B36" s="281"/>
      <c r="C36" s="3"/>
      <c r="D36" s="110"/>
      <c r="E36" s="110"/>
      <c r="F36" s="110"/>
      <c r="G36" s="111"/>
      <c r="H36" s="112"/>
      <c r="I36" s="144"/>
      <c r="J36" s="220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103"/>
      <c r="X36" s="141">
        <f>COUNTIF(#REF!,$R$50)+COUNTIF(#REF!,$S$50)+COUNTIF(#REF!,$M$50)+COUNTIF(#REF!,$N$50)+COUNTIF(#REF!,$O$50)+COUNTIF(#REF!,$P$50)+COUNTIF(#REF!,$Q$50)</f>
      </c>
    </row>
    <row x14ac:dyDescent="0.25" r="37" customHeight="1" ht="27.75">
      <c r="A37" s="134" t="s">
        <v>155</v>
      </c>
      <c r="B37" s="282"/>
      <c r="C37" s="3"/>
      <c r="D37" s="110"/>
      <c r="E37" s="110"/>
      <c r="F37" s="110"/>
      <c r="G37" s="111"/>
      <c r="H37" s="112"/>
      <c r="I37" s="144"/>
      <c r="J37" s="220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103"/>
      <c r="X37" s="141">
        <f>COUNTIF(#REF!,$R$50)+COUNTIF(#REF!,$S$50)+COUNTIF(#REF!,$M$50)+COUNTIF(#REF!,$N$50)+COUNTIF(#REF!,$O$50)+COUNTIF(#REF!,$P$50)+COUNTIF(#REF!,$Q$50)</f>
      </c>
    </row>
    <row x14ac:dyDescent="0.25" r="38" customHeight="1" ht="27.75">
      <c r="A38" s="142" t="s">
        <v>141</v>
      </c>
      <c r="B38" s="281"/>
      <c r="C38" s="3"/>
      <c r="D38" s="110"/>
      <c r="E38" s="110"/>
      <c r="F38" s="110"/>
      <c r="G38" s="111"/>
      <c r="H38" s="112"/>
      <c r="I38" s="144"/>
      <c r="J38" s="220"/>
      <c r="K38" s="98"/>
      <c r="L38" s="98"/>
      <c r="M38" s="98"/>
      <c r="N38" s="137"/>
      <c r="O38" s="98"/>
      <c r="P38" s="98"/>
      <c r="Q38" s="137"/>
      <c r="R38" s="137"/>
      <c r="S38" s="98"/>
      <c r="T38" s="98"/>
      <c r="U38" s="98"/>
      <c r="V38" s="98"/>
      <c r="W38" s="103"/>
      <c r="X38" s="141">
        <f>COUNTIF(#REF!,$R$50)+COUNTIF(#REF!,$S$50)+COUNTIF(#REF!,$M$50)+COUNTIF(#REF!,$N$50)+COUNTIF(#REF!,$O$50)+COUNTIF(#REF!,$P$50)+COUNTIF(#REF!,$Q$50)</f>
      </c>
    </row>
    <row x14ac:dyDescent="0.25" r="39" customHeight="1" ht="27.75">
      <c r="A39" s="142" t="s">
        <v>142</v>
      </c>
      <c r="B39" s="281"/>
      <c r="C39" s="3"/>
      <c r="D39" s="110"/>
      <c r="E39" s="110"/>
      <c r="F39" s="110"/>
      <c r="G39" s="111"/>
      <c r="H39" s="112"/>
      <c r="I39" s="144"/>
      <c r="J39" s="144"/>
      <c r="K39" s="100"/>
      <c r="L39" s="100"/>
      <c r="M39" s="100"/>
      <c r="N39" s="145"/>
      <c r="O39" s="100"/>
      <c r="P39" s="100"/>
      <c r="Q39" s="145"/>
      <c r="R39" s="145"/>
      <c r="S39" s="100"/>
      <c r="T39" s="100"/>
      <c r="U39" s="100"/>
      <c r="V39" s="100"/>
      <c r="W39" s="103"/>
      <c r="X39" s="141">
        <f>COUNTIF(#REF!,$R$50)+COUNTIF(#REF!,$S$50)+COUNTIF(#REF!,$M$50)+COUNTIF(#REF!,$N$50)+COUNTIF(#REF!,$O$50)+COUNTIF(#REF!,$P$50)+COUNTIF(#REF!,$Q$50)</f>
      </c>
    </row>
    <row x14ac:dyDescent="0.25" r="40" customHeight="1" ht="27.75">
      <c r="A40" s="142"/>
      <c r="B40" s="281"/>
      <c r="C40" s="3"/>
      <c r="D40" s="110"/>
      <c r="E40" s="110"/>
      <c r="F40" s="110"/>
      <c r="G40" s="111"/>
      <c r="H40" s="112"/>
      <c r="I40" s="144"/>
      <c r="J40" s="144"/>
      <c r="K40" s="100"/>
      <c r="L40" s="100"/>
      <c r="M40" s="100"/>
      <c r="N40" s="145"/>
      <c r="O40" s="100"/>
      <c r="P40" s="100"/>
      <c r="Q40" s="145"/>
      <c r="R40" s="145"/>
      <c r="S40" s="100"/>
      <c r="T40" s="100"/>
      <c r="U40" s="100"/>
      <c r="V40" s="100"/>
      <c r="W40" s="103"/>
      <c r="X40" s="141">
        <f>COUNTIF(#REF!,$R$50)+COUNTIF(#REF!,$S$50)+COUNTIF(#REF!,$M$50)+COUNTIF(#REF!,$N$50)+COUNTIF(#REF!,$O$50)+COUNTIF(#REF!,$P$50)+COUNTIF(#REF!,$Q$50)</f>
      </c>
    </row>
    <row x14ac:dyDescent="0.25" r="41" customHeight="1" ht="27.75">
      <c r="A41" s="134" t="s">
        <v>156</v>
      </c>
      <c r="B41" s="282"/>
      <c r="C41" s="3"/>
      <c r="D41" s="110"/>
      <c r="E41" s="110"/>
      <c r="F41" s="110"/>
      <c r="G41" s="111"/>
      <c r="H41" s="112"/>
      <c r="I41" s="144"/>
      <c r="J41" s="144"/>
      <c r="K41" s="100"/>
      <c r="L41" s="100"/>
      <c r="M41" s="100"/>
      <c r="N41" s="145"/>
      <c r="O41" s="100"/>
      <c r="P41" s="100"/>
      <c r="Q41" s="145"/>
      <c r="R41" s="145"/>
      <c r="S41" s="100"/>
      <c r="T41" s="100"/>
      <c r="U41" s="100"/>
      <c r="V41" s="100"/>
      <c r="W41" s="103"/>
      <c r="X41" s="141">
        <f>COUNTIF(#REF!,$R$50)+COUNTIF(#REF!,$S$50)+COUNTIF(#REF!,$M$50)+COUNTIF(#REF!,$N$50)+COUNTIF(#REF!,$O$50)+COUNTIF(#REF!,$P$50)+COUNTIF(#REF!,$Q$50)</f>
      </c>
    </row>
    <row x14ac:dyDescent="0.25" r="42" customHeight="1" ht="27.75">
      <c r="A42" s="142"/>
      <c r="B42" s="281"/>
      <c r="C42" s="136"/>
      <c r="D42" s="110"/>
      <c r="E42" s="110"/>
      <c r="F42" s="110"/>
      <c r="G42" s="111"/>
      <c r="H42" s="112"/>
      <c r="I42" s="144"/>
      <c r="J42" s="144"/>
      <c r="K42" s="100"/>
      <c r="L42" s="100"/>
      <c r="M42" s="100"/>
      <c r="N42" s="145"/>
      <c r="O42" s="100"/>
      <c r="P42" s="100"/>
      <c r="Q42" s="145"/>
      <c r="R42" s="145"/>
      <c r="S42" s="100"/>
      <c r="T42" s="100"/>
      <c r="U42" s="100"/>
      <c r="V42" s="100"/>
      <c r="W42" s="103"/>
      <c r="X42" s="141">
        <f>COUNTIF(K30:V30,$R$50)+COUNTIF(K30:V30,$S$50)+COUNTIF(K30:V30,$M$50)+COUNTIF(K30:V30,$N$50)+COUNTIF(K30:V30,$O$50)+COUNTIF(K30:V30,$P$50)+COUNTIF(K30:V30,$Q$50)</f>
      </c>
    </row>
    <row x14ac:dyDescent="0.25" r="43" customHeight="1" ht="27.75">
      <c r="A43" s="142"/>
      <c r="B43" s="281"/>
      <c r="C43" s="136"/>
      <c r="D43" s="110"/>
      <c r="E43" s="110"/>
      <c r="F43" s="110"/>
      <c r="G43" s="111"/>
      <c r="H43" s="112"/>
      <c r="I43" s="144"/>
      <c r="J43" s="144"/>
      <c r="K43" s="100"/>
      <c r="L43" s="100"/>
      <c r="M43" s="100"/>
      <c r="N43" s="145"/>
      <c r="O43" s="100"/>
      <c r="P43" s="100"/>
      <c r="Q43" s="145"/>
      <c r="R43" s="145"/>
      <c r="S43" s="100"/>
      <c r="T43" s="100"/>
      <c r="U43" s="100"/>
      <c r="V43" s="100"/>
      <c r="W43" s="103"/>
      <c r="X43" s="141">
        <f>COUNTIF(K32:V32,$R$50)+COUNTIF(K32:V32,$S$50)+COUNTIF(K32:V32,$M$50)+COUNTIF(K32:V32,$N$50)+COUNTIF(K32:V32,$O$50)+COUNTIF(K32:V32,$P$50)+COUNTIF(K32:V32,$Q$50)</f>
      </c>
    </row>
    <row x14ac:dyDescent="0.25" r="44" customHeight="1" ht="27.75">
      <c r="A44" s="142"/>
      <c r="B44" s="281"/>
      <c r="C44" s="136"/>
      <c r="D44" s="110"/>
      <c r="E44" s="110"/>
      <c r="F44" s="110"/>
      <c r="G44" s="111"/>
      <c r="H44" s="112"/>
      <c r="I44" s="144"/>
      <c r="J44" s="144"/>
      <c r="K44" s="100"/>
      <c r="L44" s="100"/>
      <c r="M44" s="100"/>
      <c r="N44" s="145"/>
      <c r="O44" s="100"/>
      <c r="P44" s="100"/>
      <c r="Q44" s="145"/>
      <c r="R44" s="145"/>
      <c r="S44" s="100"/>
      <c r="T44" s="100"/>
      <c r="U44" s="100"/>
      <c r="V44" s="100"/>
      <c r="W44" s="103"/>
      <c r="X44" s="141">
        <f>COUNTIF(#REF!,$R$50)+COUNTIF(#REF!,$S$50)+COUNTIF(#REF!,$M$50)+COUNTIF(#REF!,$N$50)+COUNTIF(#REF!,$O$50)+COUNTIF(#REF!,$P$50)+COUNTIF(#REF!,$Q$50)</f>
      </c>
    </row>
    <row x14ac:dyDescent="0.25" r="45" customHeight="1" ht="27.75">
      <c r="A45" s="134" t="s">
        <v>111</v>
      </c>
      <c r="B45" s="282"/>
      <c r="C45" s="136"/>
      <c r="D45" s="110"/>
      <c r="E45" s="110"/>
      <c r="F45" s="110"/>
      <c r="G45" s="111"/>
      <c r="H45" s="34"/>
      <c r="I45" s="150"/>
      <c r="J45" s="150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03"/>
      <c r="X45" s="141">
        <f>COUNTIF(#REF!,$R$50)+COUNTIF(#REF!,$S$50)+COUNTIF(#REF!,$M$50)+COUNTIF(#REF!,$N$50)+COUNTIF(#REF!,$O$50)+COUNTIF(#REF!,$P$50)+COUNTIF(#REF!,$Q$50)</f>
      </c>
    </row>
    <row x14ac:dyDescent="0.25" r="46" customHeight="1" ht="27.75">
      <c r="A46" s="142"/>
      <c r="B46" s="281"/>
      <c r="C46" s="136"/>
      <c r="D46" s="110"/>
      <c r="E46" s="110"/>
      <c r="F46" s="110"/>
      <c r="G46" s="111"/>
      <c r="H46" s="149"/>
      <c r="I46" s="153"/>
      <c r="J46" s="153"/>
      <c r="K46" s="158"/>
      <c r="L46" s="158"/>
      <c r="M46" s="158"/>
      <c r="N46" s="159"/>
      <c r="O46" s="158"/>
      <c r="P46" s="158"/>
      <c r="Q46" s="159"/>
      <c r="R46" s="159"/>
      <c r="S46" s="158"/>
      <c r="T46" s="158"/>
      <c r="U46" s="158"/>
      <c r="V46" s="158"/>
      <c r="W46" s="103"/>
      <c r="X46" s="141">
        <f>COUNTIF(K33:V33,$R$50)+COUNTIF(K33:V33,$S$50)+COUNTIF(K33:V33,$M$50)+COUNTIF(K33:V33,$N$50)+COUNTIF(K33:V33,$O$50)+COUNTIF(K33:V33,$P$50)+COUNTIF(K33:V33,$Q$50)</f>
      </c>
    </row>
    <row x14ac:dyDescent="0.25" r="47" customHeight="1" ht="27.75">
      <c r="A47" s="142"/>
      <c r="B47" s="281"/>
      <c r="C47" s="136"/>
      <c r="D47" s="110"/>
      <c r="E47" s="110"/>
      <c r="F47" s="110"/>
      <c r="G47" s="111"/>
      <c r="H47" s="152"/>
      <c r="I47" s="154"/>
      <c r="J47" s="154"/>
      <c r="K47" s="166"/>
      <c r="L47" s="166"/>
      <c r="M47" s="166"/>
      <c r="N47" s="167"/>
      <c r="O47" s="166"/>
      <c r="P47" s="166"/>
      <c r="Q47" s="167"/>
      <c r="R47" s="167"/>
      <c r="S47" s="166"/>
      <c r="T47" s="166"/>
      <c r="U47" s="166"/>
      <c r="V47" s="166"/>
      <c r="W47" s="130"/>
      <c r="X47" s="141">
        <f>COUNTIF(K36:V36,$R$50)+COUNTIF(K36:V36,$S$50)+COUNTIF(K36:V36,$M$50)+COUNTIF(K36:V36,$N$50)+COUNTIF(K36:V36,$O$50)+COUNTIF(K36:V36,$P$50)+COUNTIF(K36:V36,$Q$50)</f>
      </c>
    </row>
    <row x14ac:dyDescent="0.25" r="48" customHeight="1" ht="27.75">
      <c r="A48" s="134" t="s">
        <v>112</v>
      </c>
      <c r="B48" s="282"/>
      <c r="C48" s="136"/>
      <c r="D48" s="110"/>
      <c r="E48" s="110"/>
      <c r="F48" s="110"/>
      <c r="G48" s="111"/>
      <c r="H48" s="152"/>
      <c r="I48" s="154"/>
      <c r="J48" s="154"/>
      <c r="K48" s="166"/>
      <c r="L48" s="166"/>
      <c r="M48" s="166"/>
      <c r="N48" s="167"/>
      <c r="O48" s="166"/>
      <c r="P48" s="166"/>
      <c r="Q48" s="167"/>
      <c r="R48" s="167"/>
      <c r="S48" s="166"/>
      <c r="T48" s="166"/>
      <c r="U48" s="166"/>
      <c r="V48" s="166"/>
      <c r="W48" s="103"/>
      <c r="X48" s="141">
        <f>COUNTIF(#REF!,$R$50)+COUNTIF(#REF!,$S$50)+COUNTIF(#REF!,$M$50)+COUNTIF(#REF!,$N$50)+COUNTIF(#REF!,$O$50)+COUNTIF(#REF!,$P$50)+COUNTIF(#REF!,$Q$50)</f>
      </c>
    </row>
    <row x14ac:dyDescent="0.25" r="49" customHeight="1" ht="27.75">
      <c r="A49" s="142"/>
      <c r="B49" s="281"/>
      <c r="C49" s="136"/>
      <c r="D49" s="110"/>
      <c r="E49" s="110"/>
      <c r="F49" s="110"/>
      <c r="G49" s="111"/>
      <c r="H49" s="152"/>
      <c r="I49" s="154"/>
      <c r="J49" s="154"/>
      <c r="K49" s="166"/>
      <c r="L49" s="166"/>
      <c r="M49" s="166"/>
      <c r="N49" s="167"/>
      <c r="O49" s="166"/>
      <c r="P49" s="166"/>
      <c r="Q49" s="167"/>
      <c r="R49" s="167"/>
      <c r="S49" s="166"/>
      <c r="T49" s="166"/>
      <c r="U49" s="166"/>
      <c r="V49" s="166"/>
      <c r="W49" s="162"/>
      <c r="X49" s="141">
        <f>COUNTIF(#REF!,$R$50)+COUNTIF(#REF!,$S$50)+COUNTIF(#REF!,$M$50)+COUNTIF(#REF!,$N$50)+COUNTIF(#REF!,$O$50)+COUNTIF(#REF!,$P$50)+COUNTIF(#REF!,$Q$50)</f>
      </c>
    </row>
    <row x14ac:dyDescent="0.25" r="50" customHeight="1" ht="27.75">
      <c r="A50" s="142"/>
      <c r="B50" s="281"/>
      <c r="C50" s="136"/>
      <c r="D50" s="110"/>
      <c r="E50" s="110"/>
      <c r="F50" s="110"/>
      <c r="G50" s="111"/>
      <c r="H50" s="4"/>
      <c r="I50" s="152" t="s">
        <v>83</v>
      </c>
      <c r="J50" s="154"/>
      <c r="K50" s="208" t="s">
        <v>115</v>
      </c>
      <c r="L50" s="170" t="s">
        <v>50</v>
      </c>
      <c r="M50" s="171" t="s">
        <v>61</v>
      </c>
      <c r="N50" s="171" t="s">
        <v>54</v>
      </c>
      <c r="O50" s="171" t="s">
        <v>51</v>
      </c>
      <c r="P50" s="171" t="s">
        <v>84</v>
      </c>
      <c r="Q50" s="172" t="s">
        <v>52</v>
      </c>
      <c r="R50" s="172" t="s">
        <v>57</v>
      </c>
      <c r="S50" s="172" t="s">
        <v>69</v>
      </c>
      <c r="T50" s="209" t="s">
        <v>49</v>
      </c>
      <c r="U50" s="209" t="s">
        <v>110</v>
      </c>
      <c r="V50" s="209" t="s">
        <v>116</v>
      </c>
      <c r="W50" s="169"/>
      <c r="X50" s="141">
        <f>COUNTIF(#REF!,$R$50)+COUNTIF(#REF!,$S$50)+COUNTIF(#REF!,$M$50)+COUNTIF(#REF!,$N$50)+COUNTIF(#REF!,$O$50)+COUNTIF(#REF!,$P$50)+COUNTIF(#REF!,$Q$50)</f>
      </c>
    </row>
    <row x14ac:dyDescent="0.25" r="51" customHeight="1" ht="27.75">
      <c r="A51" s="134" t="s">
        <v>113</v>
      </c>
      <c r="B51" s="282"/>
      <c r="C51" s="136"/>
      <c r="D51" s="110"/>
      <c r="E51" s="110"/>
      <c r="F51" s="110"/>
      <c r="G51" s="111"/>
      <c r="H51" s="4"/>
      <c r="I51" s="74"/>
      <c r="J51" s="74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69"/>
      <c r="X51" s="141">
        <f>COUNTIF(K37:V37,$R$50)+COUNTIF(K37:V37,$S$50)+COUNTIF(K37:V37,$M$50)+COUNTIF(K37:V37,$N$50)+COUNTIF(K37:V37,$O$50)+COUNTIF(K37:V37,$P$50)+COUNTIF(K37:V37,$Q$50)</f>
      </c>
    </row>
    <row x14ac:dyDescent="0.25" r="52" customHeight="1" ht="27.75">
      <c r="A52" s="142" t="s">
        <v>157</v>
      </c>
      <c r="B52" s="281"/>
      <c r="C52" s="136"/>
      <c r="D52" s="110"/>
      <c r="E52" s="110"/>
      <c r="F52" s="110"/>
      <c r="G52" s="111"/>
      <c r="H52" s="4"/>
      <c r="I52" s="74"/>
      <c r="J52" s="74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69"/>
      <c r="X52" s="141">
        <f>COUNTIF(K38:V38,$R$50)+COUNTIF(K38:V38,$S$50)+COUNTIF(K38:V38,$M$50)+COUNTIF(K38:V38,$N$50)+COUNTIF(K38:V38,$O$50)+COUNTIF(K38:V38,$P$50)+COUNTIF(K38:V38,$Q$50)</f>
      </c>
    </row>
    <row x14ac:dyDescent="0.25" r="53" customHeight="1" ht="27.75">
      <c r="A53" s="142" t="s">
        <v>158</v>
      </c>
      <c r="B53" s="281"/>
      <c r="C53" s="136"/>
      <c r="D53" s="110"/>
      <c r="E53" s="110"/>
      <c r="F53" s="110"/>
      <c r="G53" s="111"/>
      <c r="H53" s="4"/>
      <c r="I53" s="74"/>
      <c r="J53" s="74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2"/>
      <c r="X53" s="141">
        <f>COUNTIF(K39:V39,$R$50)+COUNTIF(K39:V39,$S$50)+COUNTIF(K39:V39,$M$50)+COUNTIF(K39:V39,$N$50)+COUNTIF(K39:V39,$O$50)+COUNTIF(K39:V39,$P$50)+COUNTIF(K39:V39,$Q$50)</f>
      </c>
    </row>
    <row x14ac:dyDescent="0.25" r="54" customHeight="1" ht="27.75">
      <c r="A54" s="134" t="s">
        <v>114</v>
      </c>
      <c r="B54" s="282"/>
      <c r="C54" s="136"/>
      <c r="D54" s="110"/>
      <c r="E54" s="110"/>
      <c r="F54" s="110"/>
      <c r="G54" s="111"/>
      <c r="H54" s="4"/>
      <c r="I54" s="74"/>
      <c r="J54" s="74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2"/>
      <c r="X54" s="141">
        <f>COUNTIF(K40:V40,$R$50)+COUNTIF(K40:V40,$S$50)+COUNTIF(K40:V40,$M$50)+COUNTIF(K40:V40,$N$50)+COUNTIF(K40:V40,$O$50)+COUNTIF(K40:V40,$P$50)+COUNTIF(K40:V40,$Q$50)</f>
      </c>
    </row>
    <row x14ac:dyDescent="0.25" r="55" customHeight="1" ht="27.75">
      <c r="A55" s="142" t="s">
        <v>159</v>
      </c>
      <c r="B55" s="281"/>
      <c r="C55" s="136"/>
      <c r="D55" s="110"/>
      <c r="E55" s="110"/>
      <c r="F55" s="110"/>
      <c r="G55" s="111"/>
      <c r="H55" s="4"/>
      <c r="I55" s="74"/>
      <c r="J55" s="74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2"/>
      <c r="X55" s="141">
        <f>COUNTIF(K41:V41,$R$50)+COUNTIF(K41:V41,$S$50)+COUNTIF(K41:V41,$M$50)+COUNTIF(K41:V41,$N$50)+COUNTIF(K41:V41,$O$50)+COUNTIF(K41:V41,$P$50)+COUNTIF(K41:V41,$Q$50)</f>
      </c>
    </row>
    <row x14ac:dyDescent="0.25" r="56" customHeight="1" ht="27.75">
      <c r="A56" s="142" t="s">
        <v>131</v>
      </c>
      <c r="B56" s="281"/>
      <c r="C56" s="136"/>
      <c r="D56" s="110"/>
      <c r="E56" s="110"/>
      <c r="F56" s="110"/>
      <c r="G56" s="111"/>
      <c r="H56" s="4"/>
      <c r="I56" s="74"/>
      <c r="J56" s="74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2"/>
      <c r="X56" s="141">
        <f>COUNTIF(#REF!,$R$50)+COUNTIF(#REF!,$S$50)+COUNTIF(#REF!,$M$50)+COUNTIF(#REF!,$N$50)+COUNTIF(#REF!,$O$50)+COUNTIF(#REF!,$P$50)+COUNTIF(#REF!,$Q$50)</f>
      </c>
    </row>
    <row x14ac:dyDescent="0.25" r="57" customHeight="1" ht="27.75">
      <c r="A57" s="134" t="s">
        <v>79</v>
      </c>
      <c r="B57" s="282"/>
      <c r="C57" s="136"/>
      <c r="D57" s="110"/>
      <c r="E57" s="110"/>
      <c r="F57" s="110"/>
      <c r="G57" s="111"/>
      <c r="H57" s="4"/>
      <c r="I57" s="74"/>
      <c r="J57" s="74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2"/>
      <c r="X57" s="141"/>
    </row>
    <row x14ac:dyDescent="0.25" r="58" customHeight="1" ht="27.75">
      <c r="A58" s="142" t="s">
        <v>132</v>
      </c>
      <c r="B58" s="281"/>
      <c r="C58" s="136"/>
      <c r="D58" s="110"/>
      <c r="E58" s="110"/>
      <c r="F58" s="110"/>
      <c r="G58" s="111"/>
      <c r="H58" s="4"/>
      <c r="I58" s="74"/>
      <c r="J58" s="74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2"/>
      <c r="X58" s="148"/>
    </row>
    <row x14ac:dyDescent="0.25" r="59" customHeight="1" ht="27.75">
      <c r="A59" s="142" t="s">
        <v>133</v>
      </c>
      <c r="B59" s="281"/>
      <c r="C59" s="136"/>
      <c r="D59" s="110"/>
      <c r="E59" s="110"/>
      <c r="F59" s="110"/>
      <c r="G59" s="111"/>
      <c r="H59" s="4"/>
      <c r="I59" s="74"/>
      <c r="J59" s="74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2"/>
      <c r="X59" s="151"/>
    </row>
    <row x14ac:dyDescent="0.25" r="60" customHeight="1" ht="27.75">
      <c r="A60" s="134" t="s">
        <v>82</v>
      </c>
      <c r="B60" s="282"/>
      <c r="C60" s="136"/>
      <c r="D60" s="110"/>
      <c r="E60" s="110"/>
      <c r="F60" s="110"/>
      <c r="G60" s="111"/>
      <c r="H60" s="4"/>
      <c r="I60" s="74"/>
      <c r="J60" s="74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2"/>
      <c r="X60" s="151"/>
    </row>
    <row x14ac:dyDescent="0.25" r="61" customHeight="1" ht="27.75">
      <c r="A61" s="142" t="s">
        <v>134</v>
      </c>
      <c r="B61" s="281"/>
      <c r="C61" s="136"/>
      <c r="D61" s="110"/>
      <c r="E61" s="110"/>
      <c r="F61" s="110"/>
      <c r="G61" s="111"/>
      <c r="H61" s="4"/>
      <c r="I61" s="74"/>
      <c r="J61" s="74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2"/>
      <c r="X61" s="151"/>
    </row>
    <row x14ac:dyDescent="0.25" r="62" customHeight="1" ht="27.75">
      <c r="A62" s="156"/>
      <c r="B62" s="283"/>
      <c r="C62" s="136"/>
      <c r="D62" s="110"/>
      <c r="E62" s="110"/>
      <c r="F62" s="110"/>
      <c r="G62" s="111"/>
      <c r="H62" s="4"/>
      <c r="I62" s="74"/>
      <c r="J62" s="74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2"/>
      <c r="X62" s="151"/>
    </row>
    <row x14ac:dyDescent="0.25" r="63" customHeight="1" ht="26.25">
      <c r="A63" s="163"/>
      <c r="B63" s="164"/>
      <c r="C63" s="136"/>
      <c r="D63" s="165"/>
      <c r="E63" s="165"/>
      <c r="F63" s="165"/>
      <c r="G63" s="165"/>
      <c r="H63" s="4"/>
      <c r="I63" s="74"/>
      <c r="J63" s="74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2"/>
      <c r="X63" s="151"/>
    </row>
    <row x14ac:dyDescent="0.25" r="64" customHeight="1" ht="26.25">
      <c r="A64" s="163"/>
      <c r="B64" s="164"/>
      <c r="C64" s="136"/>
      <c r="D64" s="165"/>
      <c r="E64" s="165"/>
      <c r="F64" s="165"/>
      <c r="G64" s="165"/>
      <c r="H64" s="4"/>
      <c r="I64" s="74"/>
      <c r="J64" s="74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2"/>
      <c r="X64" s="151"/>
    </row>
    <row x14ac:dyDescent="0.25" r="65" customHeight="1" ht="26.25">
      <c r="A65" s="163"/>
      <c r="B65" s="164"/>
      <c r="C65" s="136"/>
      <c r="D65" s="165"/>
      <c r="E65" s="165"/>
      <c r="F65" s="165"/>
      <c r="G65" s="165"/>
      <c r="H65" s="4"/>
      <c r="I65" s="74"/>
      <c r="J65" s="74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2"/>
      <c r="X65" s="151"/>
    </row>
    <row x14ac:dyDescent="0.25" r="66" customHeight="1" ht="18.75" hidden="1">
      <c r="A66" s="4"/>
      <c r="B66" s="2"/>
      <c r="C66" s="136"/>
      <c r="D66" s="4"/>
      <c r="E66" s="4"/>
      <c r="F66" s="4"/>
      <c r="G66" s="4"/>
      <c r="H66" s="4"/>
      <c r="I66" s="74"/>
      <c r="J66" s="74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2"/>
      <c r="X66" s="175">
        <f>COUNTIF(#REF!,$R$50)+COUNTIF(#REF!,$S$50)+COUNTIF(#REF!,$M$50)+COUNTIF(#REF!,$N$50)+COUNTIF(#REF!,$O$50)+COUNTIF(#REF!,$P$50)+COUNTIF(#REF!,$Q$50)</f>
      </c>
    </row>
  </sheetData>
  <mergeCells count="54">
    <mergeCell ref="H1:W1"/>
    <mergeCell ref="A2:B2"/>
    <mergeCell ref="H2:W2"/>
    <mergeCell ref="H3:I3"/>
    <mergeCell ref="H4:I4"/>
    <mergeCell ref="H5:I5"/>
    <mergeCell ref="D6:D18"/>
    <mergeCell ref="H6:I6"/>
    <mergeCell ref="H7:I7"/>
    <mergeCell ref="E8:E18"/>
    <mergeCell ref="F8:F18"/>
    <mergeCell ref="G8:G18"/>
    <mergeCell ref="H8:I8"/>
    <mergeCell ref="H9:I9"/>
    <mergeCell ref="H10:I10"/>
    <mergeCell ref="H11:I11"/>
    <mergeCell ref="H12:I12"/>
    <mergeCell ref="H13:I13"/>
    <mergeCell ref="A14:B14"/>
    <mergeCell ref="H14:I14"/>
    <mergeCell ref="H16:W16"/>
    <mergeCell ref="A22:B22"/>
    <mergeCell ref="A23:B23"/>
    <mergeCell ref="A24:B24"/>
    <mergeCell ref="A30:B30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2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79" width="21.005" customWidth="1" bestFit="1"/>
    <col min="11" max="11" style="179" width="16.719285714285714" customWidth="1" bestFit="1"/>
    <col min="12" max="12" style="211" width="15.576428571428572" customWidth="1" bestFit="1"/>
    <col min="13" max="13" style="211" width="15.576428571428572" customWidth="1" bestFit="1"/>
    <col min="14" max="14" style="211" width="15.576428571428572" customWidth="1" bestFit="1"/>
    <col min="15" max="15" style="211" width="15.576428571428572" customWidth="1" bestFit="1"/>
    <col min="16" max="16" style="211" width="15.576428571428572" customWidth="1" bestFit="1"/>
    <col min="17" max="17" style="211" width="15.576428571428572" customWidth="1" bestFit="1"/>
    <col min="18" max="18" style="211" width="15.576428571428572" customWidth="1" bestFit="1"/>
    <col min="19" max="19" style="211" width="15.576428571428572" customWidth="1" bestFit="1"/>
    <col min="20" max="20" style="211" width="15.576428571428572" customWidth="1" bestFit="1"/>
    <col min="21" max="21" style="211" width="15.576428571428572" customWidth="1" bestFit="1"/>
    <col min="22" max="22" style="211" width="15.576428571428572" customWidth="1" bestFit="1"/>
    <col min="23" max="23" style="182" width="34.86214285714286" customWidth="1" bestFit="1"/>
    <col min="24" max="24" style="183" width="13.576428571428572" customWidth="1" bestFit="1" hidden="1"/>
  </cols>
  <sheetData>
    <row x14ac:dyDescent="0.25" r="1" customHeight="1" ht="88.5">
      <c r="A1" s="1" t="s">
        <v>135</v>
      </c>
      <c r="B1" s="2"/>
      <c r="C1" s="3"/>
      <c r="D1" s="4"/>
      <c r="E1" s="184"/>
      <c r="F1" s="4"/>
      <c r="G1" s="4"/>
      <c r="H1" s="5"/>
      <c r="I1" s="250"/>
      <c r="J1" s="250"/>
      <c r="K1" s="250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2"/>
      <c r="X1" s="10"/>
    </row>
    <row x14ac:dyDescent="0.25" r="2" customHeight="1" ht="27.75">
      <c r="A2" s="11" t="s">
        <v>1</v>
      </c>
      <c r="B2" s="253"/>
      <c r="C2" s="3"/>
      <c r="D2" s="4"/>
      <c r="E2" s="4"/>
      <c r="F2" s="4"/>
      <c r="G2" s="4"/>
      <c r="H2" s="13" t="s">
        <v>2</v>
      </c>
      <c r="I2" s="254"/>
      <c r="J2" s="254"/>
      <c r="K2" s="254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6"/>
      <c r="X2" s="19"/>
    </row>
    <row x14ac:dyDescent="0.25" r="3" customHeight="1" ht="27.75">
      <c r="A3" s="20" t="s">
        <v>3</v>
      </c>
      <c r="B3" s="186" t="s">
        <v>136</v>
      </c>
      <c r="C3" s="3"/>
      <c r="D3" s="4"/>
      <c r="E3" s="4"/>
      <c r="F3" s="4"/>
      <c r="G3" s="4"/>
      <c r="H3" s="23" t="s">
        <v>6</v>
      </c>
      <c r="I3" s="257"/>
      <c r="J3" s="258"/>
      <c r="K3" s="258"/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19"/>
    </row>
    <row x14ac:dyDescent="0.25" r="4" customHeight="1" ht="27.75">
      <c r="A4" s="30" t="s">
        <v>15</v>
      </c>
      <c r="B4" s="31">
        <v>10883</v>
      </c>
      <c r="C4" s="32"/>
      <c r="D4" s="34"/>
      <c r="E4" s="34"/>
      <c r="F4" s="34"/>
      <c r="G4" s="34"/>
      <c r="H4" s="35" t="s">
        <v>16</v>
      </c>
      <c r="I4" s="259"/>
      <c r="J4" s="260"/>
      <c r="K4" s="260"/>
      <c r="L4" s="37">
        <v>0.03</v>
      </c>
      <c r="M4" s="37">
        <v>0.06</v>
      </c>
      <c r="N4" s="37">
        <v>0.08</v>
      </c>
      <c r="O4" s="37">
        <v>0.09</v>
      </c>
      <c r="P4" s="37">
        <v>0.12</v>
      </c>
      <c r="Q4" s="37">
        <v>0.15</v>
      </c>
      <c r="R4" s="37">
        <v>0.15</v>
      </c>
      <c r="S4" s="37">
        <v>0.12</v>
      </c>
      <c r="T4" s="37">
        <v>0.09</v>
      </c>
      <c r="U4" s="37">
        <v>0.07</v>
      </c>
      <c r="V4" s="37">
        <v>0.04</v>
      </c>
      <c r="W4" s="38" t="s">
        <v>17</v>
      </c>
      <c r="X4" s="28"/>
    </row>
    <row x14ac:dyDescent="0.25" r="5" customHeight="1" ht="27.75">
      <c r="A5" s="30" t="s">
        <v>18</v>
      </c>
      <c r="B5" s="31">
        <v>11000</v>
      </c>
      <c r="C5" s="3"/>
      <c r="D5" s="34"/>
      <c r="E5" s="34"/>
      <c r="F5" s="34"/>
      <c r="G5" s="34"/>
      <c r="H5" s="39" t="s">
        <v>20</v>
      </c>
      <c r="I5" s="39"/>
      <c r="J5" s="261"/>
      <c r="K5" s="261"/>
      <c r="L5" s="41">
        <f>SUM(L$4:L$4)*$B$4</f>
      </c>
      <c r="M5" s="41">
        <f>SUM(L4:M4)*$B$4</f>
      </c>
      <c r="N5" s="41">
        <f>SUM(L4:N4)*$B$4</f>
      </c>
      <c r="O5" s="41">
        <f>SUM(L4:O4)*$B$4</f>
      </c>
      <c r="P5" s="41">
        <f>SUM(L4:P4)*$B$4</f>
      </c>
      <c r="Q5" s="41">
        <f>SUM(L4:Q4)*$B$4</f>
      </c>
      <c r="R5" s="41">
        <f>SUM(L4:R4)*$B$4</f>
      </c>
      <c r="S5" s="41">
        <f>SUM(L4:S4)*$B$4</f>
      </c>
      <c r="T5" s="41">
        <f>SUM(L4:T4)*$B$4</f>
      </c>
      <c r="U5" s="41">
        <f>SUM(L4:U4)*$B$4</f>
      </c>
      <c r="V5" s="41">
        <f>SUM(L4:V4)*$B$4</f>
      </c>
      <c r="W5" s="42"/>
      <c r="X5" s="28"/>
    </row>
    <row x14ac:dyDescent="0.25" r="6" customHeight="1" ht="27.75">
      <c r="A6" s="30" t="s">
        <v>21</v>
      </c>
      <c r="B6" s="31">
        <v>9000</v>
      </c>
      <c r="C6" s="43">
        <f>B5/B4</f>
      </c>
      <c r="D6" s="22" t="s">
        <v>5</v>
      </c>
      <c r="E6" s="44"/>
      <c r="F6" s="44"/>
      <c r="G6" s="44"/>
      <c r="H6" s="39" t="s">
        <v>22</v>
      </c>
      <c r="I6" s="39"/>
      <c r="J6" s="261"/>
      <c r="K6" s="261"/>
      <c r="L6" s="41">
        <f>SUM(L4:L4)*$B$5</f>
      </c>
      <c r="M6" s="41">
        <f>SUM(L4:M4)*$B$5</f>
      </c>
      <c r="N6" s="41">
        <f>SUM(L4:N4)*$B$5</f>
      </c>
      <c r="O6" s="41">
        <f>SUM(L4:O4)*$B$5</f>
      </c>
      <c r="P6" s="41">
        <f>SUM(L4:P4)*$B$5</f>
      </c>
      <c r="Q6" s="41">
        <f>SUM(L4:Q4)*$B$5</f>
      </c>
      <c r="R6" s="41">
        <f>SUM(L4:R4)*$B$5</f>
      </c>
      <c r="S6" s="41">
        <f>SUM(L4:S4)*$B$5</f>
      </c>
      <c r="T6" s="41">
        <f>SUM(L4:T4)*$B$5</f>
      </c>
      <c r="U6" s="41">
        <f>SUM(L4:U4)*$B$5</f>
      </c>
      <c r="V6" s="41">
        <f>SUM(L4:V4)*$B$5</f>
      </c>
      <c r="W6" s="42"/>
      <c r="X6" s="28"/>
    </row>
    <row x14ac:dyDescent="0.25" r="7" customHeight="1" ht="27.75">
      <c r="A7" s="30" t="s">
        <v>23</v>
      </c>
      <c r="B7" s="45">
        <v>500</v>
      </c>
      <c r="C7" s="3"/>
      <c r="D7" s="33"/>
      <c r="E7" s="34"/>
      <c r="F7" s="34"/>
      <c r="G7" s="34"/>
      <c r="H7" s="46" t="s">
        <v>26</v>
      </c>
      <c r="I7" s="46"/>
      <c r="J7" s="262"/>
      <c r="K7" s="262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.75">
      <c r="A8" s="30" t="s">
        <v>27</v>
      </c>
      <c r="B8" s="49">
        <v>-0.1</v>
      </c>
      <c r="C8" s="3"/>
      <c r="D8" s="33"/>
      <c r="E8" s="22" t="s">
        <v>19</v>
      </c>
      <c r="F8" s="22" t="s">
        <v>24</v>
      </c>
      <c r="G8" s="22" t="s">
        <v>25</v>
      </c>
      <c r="H8" s="50" t="s">
        <v>28</v>
      </c>
      <c r="I8" s="50"/>
      <c r="J8" s="263"/>
      <c r="K8" s="263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.75">
      <c r="A9" s="30" t="s">
        <v>29</v>
      </c>
      <c r="B9" s="53">
        <v>600</v>
      </c>
      <c r="C9" s="3"/>
      <c r="D9" s="33"/>
      <c r="E9" s="33"/>
      <c r="F9" s="33"/>
      <c r="G9" s="33"/>
      <c r="H9" s="46" t="s">
        <v>30</v>
      </c>
      <c r="I9" s="264"/>
      <c r="J9" s="265"/>
      <c r="K9" s="265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.75">
      <c r="A10" s="30" t="s">
        <v>31</v>
      </c>
      <c r="B10" s="53">
        <v>300</v>
      </c>
      <c r="C10" s="3"/>
      <c r="D10" s="33"/>
      <c r="E10" s="33"/>
      <c r="F10" s="33"/>
      <c r="G10" s="33"/>
      <c r="H10" s="46" t="s">
        <v>32</v>
      </c>
      <c r="I10" s="46"/>
      <c r="J10" s="262"/>
      <c r="K10" s="262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6"/>
      <c r="J11" s="262"/>
      <c r="K11" s="262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.75">
      <c r="A12" s="30" t="s">
        <v>34</v>
      </c>
      <c r="B12" s="60">
        <v>2.3</v>
      </c>
      <c r="C12" s="29"/>
      <c r="D12" s="33"/>
      <c r="E12" s="33"/>
      <c r="F12" s="33"/>
      <c r="G12" s="33"/>
      <c r="H12" s="46" t="s">
        <v>35</v>
      </c>
      <c r="I12" s="46"/>
      <c r="J12" s="262"/>
      <c r="K12" s="262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v>97</v>
      </c>
      <c r="C13" s="3"/>
      <c r="D13" s="33"/>
      <c r="E13" s="33"/>
      <c r="F13" s="33"/>
      <c r="G13" s="33"/>
      <c r="H13" s="46" t="s">
        <v>36</v>
      </c>
      <c r="I13" s="266"/>
      <c r="J13" s="267"/>
      <c r="K13" s="26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7.75">
      <c r="A14" s="66" t="s">
        <v>37</v>
      </c>
      <c r="B14" s="268"/>
      <c r="C14" s="3"/>
      <c r="D14" s="33"/>
      <c r="E14" s="33"/>
      <c r="F14" s="33"/>
      <c r="G14" s="33"/>
      <c r="H14" s="68" t="s">
        <v>38</v>
      </c>
      <c r="I14" s="269"/>
      <c r="J14" s="270"/>
      <c r="K14" s="2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.75">
      <c r="A15" s="20" t="s">
        <v>39</v>
      </c>
      <c r="B15" s="73">
        <v>453745</v>
      </c>
      <c r="C15" s="3"/>
      <c r="D15" s="33"/>
      <c r="E15" s="33"/>
      <c r="F15" s="33"/>
      <c r="G15" s="33"/>
      <c r="H15" s="4"/>
      <c r="I15" s="74"/>
      <c r="J15" s="74"/>
      <c r="K15" s="74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77"/>
      <c r="X15" s="72"/>
    </row>
    <row x14ac:dyDescent="0.25" r="16" customHeight="1" ht="27.75">
      <c r="A16" s="30" t="s">
        <v>40</v>
      </c>
      <c r="B16" s="78"/>
      <c r="C16" s="3"/>
      <c r="D16" s="33"/>
      <c r="E16" s="33"/>
      <c r="F16" s="33"/>
      <c r="G16" s="33"/>
      <c r="H16" s="79" t="s">
        <v>41</v>
      </c>
      <c r="I16" s="271"/>
      <c r="J16" s="271"/>
      <c r="K16" s="271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3"/>
      <c r="X16" s="65"/>
    </row>
    <row x14ac:dyDescent="0.25" r="17" customHeight="1" ht="27.75">
      <c r="A17" s="30" t="s">
        <v>42</v>
      </c>
      <c r="B17" s="213"/>
      <c r="C17" s="3"/>
      <c r="D17" s="33"/>
      <c r="E17" s="33"/>
      <c r="F17" s="33"/>
      <c r="G17" s="33"/>
      <c r="H17" s="196" t="s">
        <v>43</v>
      </c>
      <c r="I17" s="87" t="s">
        <v>44</v>
      </c>
      <c r="J17" s="87" t="s">
        <v>119</v>
      </c>
      <c r="K17" s="87" t="s">
        <v>120</v>
      </c>
      <c r="L17" s="88">
        <f>L$3</f>
      </c>
      <c r="M17" s="88">
        <f>M$3</f>
      </c>
      <c r="N17" s="88">
        <f>N$3</f>
      </c>
      <c r="O17" s="88">
        <f>O$3</f>
      </c>
      <c r="P17" s="88">
        <f>P$3</f>
      </c>
      <c r="Q17" s="88">
        <f>Q$3</f>
      </c>
      <c r="R17" s="88">
        <f>R$3</f>
      </c>
      <c r="S17" s="88">
        <f>S$3</f>
      </c>
      <c r="T17" s="88">
        <f>T$3</f>
      </c>
      <c r="U17" s="88">
        <f>U$3</f>
      </c>
      <c r="V17" s="88">
        <f>V$3</f>
      </c>
      <c r="W17" s="198" t="s">
        <v>46</v>
      </c>
      <c r="X17" s="72"/>
    </row>
    <row x14ac:dyDescent="0.25" r="18" customHeight="1" ht="27.75">
      <c r="A18" s="30" t="s">
        <v>121</v>
      </c>
      <c r="B18" s="274"/>
      <c r="C18" s="3"/>
      <c r="D18" s="33"/>
      <c r="E18" s="33"/>
      <c r="F18" s="33"/>
      <c r="G18" s="33"/>
      <c r="H18" s="112" t="s">
        <v>92</v>
      </c>
      <c r="I18" s="113" t="s">
        <v>93</v>
      </c>
      <c r="J18" s="217"/>
      <c r="K18" s="217" t="s">
        <v>49</v>
      </c>
      <c r="L18" s="122" t="s">
        <v>50</v>
      </c>
      <c r="M18" s="122" t="s">
        <v>50</v>
      </c>
      <c r="N18" s="122" t="s">
        <v>61</v>
      </c>
      <c r="O18" s="122" t="s">
        <v>61</v>
      </c>
      <c r="P18" s="122" t="s">
        <v>50</v>
      </c>
      <c r="Q18" s="122" t="s">
        <v>50</v>
      </c>
      <c r="R18" s="98" t="s">
        <v>54</v>
      </c>
      <c r="S18" s="98"/>
      <c r="T18" s="98"/>
      <c r="U18" s="98"/>
      <c r="V18" s="98"/>
      <c r="W18" s="103"/>
      <c r="X18" s="65"/>
    </row>
    <row x14ac:dyDescent="0.25" r="19" customHeight="1" ht="18.75" hidden="1">
      <c r="A19" s="108"/>
      <c r="B19" s="275">
        <f>B15+B18</f>
      </c>
      <c r="C19" s="3"/>
      <c r="D19" s="110"/>
      <c r="E19" s="110"/>
      <c r="F19" s="110"/>
      <c r="G19" s="111"/>
      <c r="H19" s="112" t="s">
        <v>137</v>
      </c>
      <c r="I19" s="113" t="s">
        <v>138</v>
      </c>
      <c r="J19" s="144"/>
      <c r="K19" s="220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103"/>
      <c r="X19" s="65"/>
    </row>
    <row x14ac:dyDescent="0.25" r="20" customHeight="1" ht="18.75" hidden="1">
      <c r="A20" s="114"/>
      <c r="B20" s="115">
        <v>1</v>
      </c>
      <c r="C20" s="3"/>
      <c r="D20" s="110"/>
      <c r="E20" s="110"/>
      <c r="F20" s="110"/>
      <c r="G20" s="111"/>
      <c r="H20" s="112" t="s">
        <v>122</v>
      </c>
      <c r="I20" s="113" t="s">
        <v>101</v>
      </c>
      <c r="J20" s="144"/>
      <c r="K20" s="220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103"/>
      <c r="X20" s="72"/>
    </row>
    <row x14ac:dyDescent="0.25" r="21" customHeight="1" ht="27.75">
      <c r="A21" s="114"/>
      <c r="B21" s="143"/>
      <c r="C21" s="3"/>
      <c r="D21" s="110"/>
      <c r="E21" s="110"/>
      <c r="F21" s="110"/>
      <c r="G21" s="111"/>
      <c r="H21" s="112" t="s">
        <v>129</v>
      </c>
      <c r="I21" s="113" t="s">
        <v>130</v>
      </c>
      <c r="J21" s="217"/>
      <c r="K21" s="217" t="s">
        <v>110</v>
      </c>
      <c r="L21" s="138"/>
      <c r="M21" s="138"/>
      <c r="N21" s="138"/>
      <c r="O21" s="98" t="s">
        <v>110</v>
      </c>
      <c r="P21" s="98"/>
      <c r="Q21" s="98"/>
      <c r="R21" s="98"/>
      <c r="S21" s="98"/>
      <c r="T21" s="98"/>
      <c r="U21" s="98"/>
      <c r="V21" s="98"/>
      <c r="W21" s="103"/>
      <c r="X21" s="72"/>
    </row>
    <row x14ac:dyDescent="0.25" r="22" customHeight="1" ht="27.75">
      <c r="A22" s="114"/>
      <c r="B22" s="143"/>
      <c r="C22" s="3"/>
      <c r="D22" s="110"/>
      <c r="E22" s="110"/>
      <c r="F22" s="110"/>
      <c r="G22" s="111"/>
      <c r="H22" s="112" t="s">
        <v>47</v>
      </c>
      <c r="I22" s="113" t="s">
        <v>48</v>
      </c>
      <c r="J22" s="144"/>
      <c r="K22" s="217"/>
      <c r="L22" s="138" t="s">
        <v>54</v>
      </c>
      <c r="M22" s="138" t="s">
        <v>54</v>
      </c>
      <c r="N22" s="138" t="s">
        <v>50</v>
      </c>
      <c r="O22" s="138" t="s">
        <v>50</v>
      </c>
      <c r="P22" s="98" t="s">
        <v>61</v>
      </c>
      <c r="Q22" s="98" t="s">
        <v>61</v>
      </c>
      <c r="R22" s="276" t="s">
        <v>50</v>
      </c>
      <c r="S22" s="98" t="s">
        <v>50</v>
      </c>
      <c r="T22" s="98"/>
      <c r="U22" s="98"/>
      <c r="V22" s="98"/>
      <c r="W22" s="103"/>
      <c r="X22" s="72"/>
    </row>
    <row x14ac:dyDescent="0.25" r="23" customHeight="1" ht="27.75">
      <c r="A23" s="114"/>
      <c r="B23" s="143"/>
      <c r="C23" s="3"/>
      <c r="D23" s="110"/>
      <c r="E23" s="110"/>
      <c r="F23" s="110"/>
      <c r="G23" s="111"/>
      <c r="H23" s="112" t="s">
        <v>99</v>
      </c>
      <c r="I23" s="113" t="s">
        <v>56</v>
      </c>
      <c r="J23" s="144"/>
      <c r="K23" s="220"/>
      <c r="L23" s="98"/>
      <c r="M23" s="106" t="s">
        <v>61</v>
      </c>
      <c r="N23" s="105"/>
      <c r="O23" s="105"/>
      <c r="P23" s="106" t="s">
        <v>52</v>
      </c>
      <c r="Q23" s="98" t="s">
        <v>52</v>
      </c>
      <c r="R23" s="98"/>
      <c r="S23" s="98"/>
      <c r="T23" s="98"/>
      <c r="U23" s="98"/>
      <c r="V23" s="98"/>
      <c r="W23" s="103"/>
      <c r="X23" s="72"/>
    </row>
    <row x14ac:dyDescent="0.25" r="24" customHeight="1" ht="27.75">
      <c r="A24" s="277"/>
      <c r="B24" s="278"/>
      <c r="C24" s="3"/>
      <c r="D24" s="110"/>
      <c r="E24" s="110"/>
      <c r="F24" s="110"/>
      <c r="G24" s="111"/>
      <c r="H24" s="112" t="s">
        <v>62</v>
      </c>
      <c r="I24" s="113" t="s">
        <v>63</v>
      </c>
      <c r="J24" s="144"/>
      <c r="K24" s="220"/>
      <c r="L24" s="98"/>
      <c r="M24" s="98"/>
      <c r="N24" s="121" t="s">
        <v>54</v>
      </c>
      <c r="O24" s="105" t="s">
        <v>54</v>
      </c>
      <c r="P24" s="105" t="s">
        <v>57</v>
      </c>
      <c r="Q24" s="105" t="s">
        <v>57</v>
      </c>
      <c r="R24" s="105" t="s">
        <v>52</v>
      </c>
      <c r="S24" s="98"/>
      <c r="T24" s="98"/>
      <c r="U24" s="98"/>
      <c r="V24" s="98"/>
      <c r="W24" s="103"/>
      <c r="X24" s="141"/>
    </row>
    <row x14ac:dyDescent="0.25" r="25" customHeight="1" ht="27.75">
      <c r="A25" s="4"/>
      <c r="B25" s="2"/>
      <c r="C25" s="3"/>
      <c r="D25" s="110"/>
      <c r="E25" s="110"/>
      <c r="F25" s="110"/>
      <c r="G25" s="111"/>
      <c r="H25" s="112" t="s">
        <v>139</v>
      </c>
      <c r="I25" s="113" t="s">
        <v>101</v>
      </c>
      <c r="J25" s="144"/>
      <c r="K25" s="220"/>
      <c r="L25" s="98"/>
      <c r="M25" s="98"/>
      <c r="N25" s="98"/>
      <c r="O25" s="121" t="s">
        <v>61</v>
      </c>
      <c r="P25" s="121" t="s">
        <v>61</v>
      </c>
      <c r="Q25" s="121" t="s">
        <v>61</v>
      </c>
      <c r="R25" s="121" t="s">
        <v>61</v>
      </c>
      <c r="S25" s="98" t="s">
        <v>51</v>
      </c>
      <c r="T25" s="99" t="s">
        <v>50</v>
      </c>
      <c r="U25" s="99" t="s">
        <v>50</v>
      </c>
      <c r="V25" s="99" t="s">
        <v>50</v>
      </c>
      <c r="W25" s="103"/>
      <c r="X25" s="141">
        <f>COUNTIF(#REF!,$R$51)+COUNTIF(#REF!,$S$51)+COUNTIF(#REF!,$M$51)+COUNTIF(#REF!,$N$51)+COUNTIF(#REF!,$O$51)+COUNTIF(#REF!,$P$51)+COUNTIF(#REF!,$Q$51)</f>
      </c>
    </row>
    <row x14ac:dyDescent="0.25" r="26" customHeight="1" ht="27.75">
      <c r="A26" s="119" t="s">
        <v>64</v>
      </c>
      <c r="B26" s="120"/>
      <c r="C26" s="3"/>
      <c r="D26" s="110"/>
      <c r="E26" s="110"/>
      <c r="F26" s="110"/>
      <c r="G26" s="111"/>
      <c r="H26" s="112" t="s">
        <v>102</v>
      </c>
      <c r="I26" s="113" t="s">
        <v>126</v>
      </c>
      <c r="J26" s="144"/>
      <c r="K26" s="220"/>
      <c r="L26" s="98"/>
      <c r="M26" s="98"/>
      <c r="N26" s="98"/>
      <c r="O26" s="98"/>
      <c r="P26" s="98" t="s">
        <v>57</v>
      </c>
      <c r="Q26" s="105" t="s">
        <v>57</v>
      </c>
      <c r="R26" s="105" t="s">
        <v>54</v>
      </c>
      <c r="S26" s="105" t="s">
        <v>52</v>
      </c>
      <c r="T26" s="105" t="s">
        <v>52</v>
      </c>
      <c r="U26" s="98"/>
      <c r="V26" s="98"/>
      <c r="W26" s="103"/>
      <c r="X26" s="141">
        <f>COUNTIF(#REF!,$R$51)+COUNTIF(#REF!,$S$51)+COUNTIF(#REF!,$M$51)+COUNTIF(#REF!,$N$51)+COUNTIF(#REF!,$O$51)+COUNTIF(#REF!,$P$51)+COUNTIF(#REF!,$Q$51)</f>
      </c>
    </row>
    <row x14ac:dyDescent="0.25" r="27" customHeight="1" ht="27.75">
      <c r="A27" s="119" t="s">
        <v>66</v>
      </c>
      <c r="B27" s="120"/>
      <c r="C27" s="3"/>
      <c r="D27" s="110"/>
      <c r="E27" s="110"/>
      <c r="F27" s="110"/>
      <c r="G27" s="111"/>
      <c r="H27" s="112" t="s">
        <v>140</v>
      </c>
      <c r="I27" s="113" t="s">
        <v>106</v>
      </c>
      <c r="J27" s="144"/>
      <c r="K27" s="220"/>
      <c r="L27" s="98"/>
      <c r="M27" s="98"/>
      <c r="N27" s="98"/>
      <c r="O27" s="98"/>
      <c r="P27" s="98"/>
      <c r="Q27" s="98"/>
      <c r="R27" s="98" t="s">
        <v>54</v>
      </c>
      <c r="S27" s="106"/>
      <c r="T27" s="106"/>
      <c r="U27" s="106"/>
      <c r="V27" s="106"/>
      <c r="W27" s="206"/>
      <c r="X27" s="141">
        <f>COUNTIF(#REF!,$R$51)+COUNTIF(#REF!,$S$51)+COUNTIF(#REF!,$M$51)+COUNTIF(#REF!,$N$51)+COUNTIF(#REF!,$O$51)+COUNTIF(#REF!,$P$51)+COUNTIF(#REF!,$Q$51)</f>
      </c>
    </row>
    <row x14ac:dyDescent="0.25" r="28" customHeight="1" ht="27.75">
      <c r="A28" s="119" t="s">
        <v>124</v>
      </c>
      <c r="B28" s="120"/>
      <c r="C28" s="3"/>
      <c r="D28" s="110"/>
      <c r="E28" s="110"/>
      <c r="F28" s="110"/>
      <c r="G28" s="111"/>
      <c r="H28" s="112" t="s">
        <v>100</v>
      </c>
      <c r="I28" s="113" t="s">
        <v>106</v>
      </c>
      <c r="J28" s="144"/>
      <c r="K28" s="220"/>
      <c r="L28" s="98"/>
      <c r="M28" s="98"/>
      <c r="N28" s="98"/>
      <c r="O28" s="98"/>
      <c r="P28" s="98"/>
      <c r="Q28" s="98"/>
      <c r="R28" s="98" t="s">
        <v>61</v>
      </c>
      <c r="S28" s="105"/>
      <c r="T28" s="105"/>
      <c r="U28" s="105"/>
      <c r="V28" s="105"/>
      <c r="W28" s="103"/>
      <c r="X28" s="141">
        <f>COUNTIF(#REF!,$R$51)+COUNTIF(#REF!,$S$51)+COUNTIF(#REF!,$M$51)+COUNTIF(#REF!,$N$51)+COUNTIF(#REF!,$O$51)+COUNTIF(#REF!,$P$51)+COUNTIF(#REF!,$Q$51)</f>
      </c>
    </row>
    <row x14ac:dyDescent="0.25" r="29" customHeight="1" ht="27.75">
      <c r="A29" s="279"/>
      <c r="B29" s="280"/>
      <c r="C29" s="3"/>
      <c r="D29" s="110"/>
      <c r="E29" s="110"/>
      <c r="F29" s="110"/>
      <c r="G29" s="111"/>
      <c r="H29" s="112" t="s">
        <v>65</v>
      </c>
      <c r="I29" s="113" t="s">
        <v>106</v>
      </c>
      <c r="J29" s="144"/>
      <c r="K29" s="220"/>
      <c r="L29" s="98"/>
      <c r="M29" s="98"/>
      <c r="N29" s="98"/>
      <c r="O29" s="98"/>
      <c r="P29" s="98"/>
      <c r="Q29" s="98"/>
      <c r="R29" s="98" t="s">
        <v>57</v>
      </c>
      <c r="S29" s="121" t="s">
        <v>57</v>
      </c>
      <c r="T29" s="121" t="s">
        <v>57</v>
      </c>
      <c r="U29" s="121"/>
      <c r="V29" s="121"/>
      <c r="W29" s="103"/>
      <c r="X29" s="141">
        <f>COUNTIF(#REF!,$R$51)+COUNTIF(#REF!,$S$51)+COUNTIF(#REF!,$M$51)+COUNTIF(#REF!,$N$51)+COUNTIF(#REF!,$O$51)+COUNTIF(#REF!,$P$51)+COUNTIF(#REF!,$Q$51)</f>
      </c>
    </row>
    <row x14ac:dyDescent="0.25" r="30" customHeight="1" ht="27.75">
      <c r="A30" s="142" t="s">
        <v>141</v>
      </c>
      <c r="B30" s="281"/>
      <c r="C30" s="3"/>
      <c r="D30" s="110"/>
      <c r="E30" s="110"/>
      <c r="F30" s="110"/>
      <c r="G30" s="111"/>
      <c r="H30" s="112" t="s">
        <v>108</v>
      </c>
      <c r="I30" s="113" t="s">
        <v>128</v>
      </c>
      <c r="J30" s="144"/>
      <c r="K30" s="220"/>
      <c r="L30" s="98"/>
      <c r="M30" s="98"/>
      <c r="N30" s="98"/>
      <c r="O30" s="98"/>
      <c r="P30" s="98"/>
      <c r="Q30" s="98"/>
      <c r="R30" s="98" t="s">
        <v>116</v>
      </c>
      <c r="S30" s="242"/>
      <c r="T30" s="242"/>
      <c r="U30" s="242"/>
      <c r="V30" s="242"/>
      <c r="W30" s="103"/>
      <c r="X30" s="141">
        <f>COUNTIF(L32:V32,$R$51)+COUNTIF(L32:V32,$S$51)+COUNTIF(L32:V32,$M$51)+COUNTIF(L32:V32,$N$51)+COUNTIF(L32:V32,$O$51)+COUNTIF(L32:V32,$P$51)+COUNTIF(L32:V32,$Q$51)</f>
      </c>
    </row>
    <row x14ac:dyDescent="0.25" r="31" customHeight="1" ht="27.75">
      <c r="A31" s="142" t="s">
        <v>142</v>
      </c>
      <c r="B31" s="281"/>
      <c r="C31" s="136"/>
      <c r="D31" s="110"/>
      <c r="E31" s="110"/>
      <c r="F31" s="110"/>
      <c r="G31" s="111"/>
      <c r="H31" s="112" t="s">
        <v>143</v>
      </c>
      <c r="I31" s="113" t="s">
        <v>128</v>
      </c>
      <c r="J31" s="144"/>
      <c r="K31" s="220"/>
      <c r="L31" s="98"/>
      <c r="M31" s="98"/>
      <c r="N31" s="98"/>
      <c r="O31" s="98"/>
      <c r="P31" s="98"/>
      <c r="Q31" s="98"/>
      <c r="R31" s="98" t="s">
        <v>116</v>
      </c>
      <c r="S31" s="242"/>
      <c r="T31" s="242"/>
      <c r="U31" s="242"/>
      <c r="V31" s="242"/>
      <c r="W31" s="103"/>
      <c r="X31" s="141">
        <f>COUNTIF(#REF!,$R$51)+COUNTIF(#REF!,$S$51)+COUNTIF(#REF!,$M$51)+COUNTIF(#REF!,$N$51)+COUNTIF(#REF!,$O$51)+COUNTIF(#REF!,$P$51)+COUNTIF(#REF!,$Q$51)</f>
      </c>
    </row>
    <row x14ac:dyDescent="0.25" r="32" customHeight="1" ht="27.75">
      <c r="A32" s="142" t="s">
        <v>144</v>
      </c>
      <c r="B32" s="281"/>
      <c r="C32" s="136"/>
      <c r="D32" s="110"/>
      <c r="E32" s="110"/>
      <c r="F32" s="110"/>
      <c r="G32" s="111"/>
      <c r="H32" s="112"/>
      <c r="I32" s="144"/>
      <c r="J32" s="144"/>
      <c r="K32" s="144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3"/>
      <c r="X32" s="141">
        <f>COUNTIF(#REF!,$R$51)+COUNTIF(#REF!,$S$51)+COUNTIF(#REF!,$M$51)+COUNTIF(#REF!,$N$51)+COUNTIF(#REF!,$O$51)+COUNTIF(#REF!,$P$51)+COUNTIF(#REF!,$Q$51)</f>
      </c>
    </row>
    <row x14ac:dyDescent="0.25" r="33" customHeight="1" ht="27.75">
      <c r="A33" s="142"/>
      <c r="B33" s="281"/>
      <c r="C33" s="136"/>
      <c r="D33" s="110"/>
      <c r="E33" s="110"/>
      <c r="F33" s="110"/>
      <c r="G33" s="111"/>
      <c r="H33" s="112"/>
      <c r="I33" s="144"/>
      <c r="J33" s="144"/>
      <c r="K33" s="144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3"/>
      <c r="X33" s="141">
        <f>COUNTIF(L34:V34,$R$51)+COUNTIF(L34:V34,$S$51)+COUNTIF(L34:V34,$M$51)+COUNTIF(L34:V34,$N$51)+COUNTIF(L34:V34,$O$51)+COUNTIF(L34:V34,$P$51)+COUNTIF(L34:V34,$Q$51)</f>
      </c>
    </row>
    <row x14ac:dyDescent="0.25" r="34" customHeight="1" ht="27.75">
      <c r="A34" s="134" t="s">
        <v>112</v>
      </c>
      <c r="B34" s="282"/>
      <c r="C34" s="136"/>
      <c r="D34" s="110"/>
      <c r="E34" s="110"/>
      <c r="F34" s="110"/>
      <c r="G34" s="111"/>
      <c r="H34" s="112"/>
      <c r="I34" s="144"/>
      <c r="J34" s="144"/>
      <c r="K34" s="144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3"/>
      <c r="X34" s="141">
        <f>COUNTIF(L35:V35,$R$51)+COUNTIF(L35:V35,$S$51)+COUNTIF(L35:V35,$M$51)+COUNTIF(L35:V35,$N$51)+COUNTIF(L35:V35,$O$51)+COUNTIF(L35:V35,$P$51)+COUNTIF(L35:V35,$Q$51)</f>
      </c>
    </row>
    <row x14ac:dyDescent="0.25" r="35" customHeight="1" ht="27.75">
      <c r="A35" s="142"/>
      <c r="B35" s="281"/>
      <c r="C35" s="136"/>
      <c r="D35" s="110"/>
      <c r="E35" s="110"/>
      <c r="F35" s="110"/>
      <c r="G35" s="111"/>
      <c r="H35" s="112"/>
      <c r="I35" s="144"/>
      <c r="J35" s="144"/>
      <c r="K35" s="144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3"/>
      <c r="X35" s="141">
        <f>COUNTIF(L36:V36,$R$51)+COUNTIF(L36:V36,$S$51)+COUNTIF(L36:V36,$M$51)+COUNTIF(L36:V36,$N$51)+COUNTIF(L36:V36,$O$51)+COUNTIF(L36:V36,$P$51)+COUNTIF(L36:V36,$Q$51)</f>
      </c>
    </row>
    <row x14ac:dyDescent="0.25" r="36" customHeight="1" ht="27.75">
      <c r="A36" s="142"/>
      <c r="B36" s="281"/>
      <c r="C36" s="136"/>
      <c r="D36" s="110"/>
      <c r="E36" s="110"/>
      <c r="F36" s="110"/>
      <c r="G36" s="111"/>
      <c r="H36" s="112"/>
      <c r="I36" s="144"/>
      <c r="J36" s="144"/>
      <c r="K36" s="144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3"/>
      <c r="X36" s="141">
        <f>COUNTIF(L37:V37,$R$51)+COUNTIF(L37:V37,$S$51)+COUNTIF(L37:V37,$M$51)+COUNTIF(L37:V37,$N$51)+COUNTIF(L37:V37,$O$51)+COUNTIF(L37:V37,$P$51)+COUNTIF(L37:V37,$Q$51)</f>
      </c>
    </row>
    <row x14ac:dyDescent="0.25" r="37" customHeight="1" ht="27.75">
      <c r="A37" s="134" t="s">
        <v>113</v>
      </c>
      <c r="B37" s="282"/>
      <c r="C37" s="136"/>
      <c r="D37" s="110"/>
      <c r="E37" s="110"/>
      <c r="F37" s="110"/>
      <c r="G37" s="111"/>
      <c r="H37" s="112"/>
      <c r="I37" s="144"/>
      <c r="J37" s="144"/>
      <c r="K37" s="144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3"/>
      <c r="X37" s="141">
        <f>COUNTIF(L38:V38,$R$51)+COUNTIF(L38:V38,$S$51)+COUNTIF(L38:V38,$M$51)+COUNTIF(L38:V38,$N$51)+COUNTIF(L38:V38,$O$51)+COUNTIF(L38:V38,$P$51)+COUNTIF(L38:V38,$Q$51)</f>
      </c>
    </row>
    <row x14ac:dyDescent="0.25" r="38" customHeight="1" ht="27.75">
      <c r="A38" s="142"/>
      <c r="B38" s="281"/>
      <c r="C38" s="136"/>
      <c r="D38" s="110"/>
      <c r="E38" s="110"/>
      <c r="F38" s="110"/>
      <c r="G38" s="111"/>
      <c r="H38" s="112"/>
      <c r="I38" s="144"/>
      <c r="J38" s="144"/>
      <c r="K38" s="144"/>
      <c r="L38" s="100"/>
      <c r="M38" s="100"/>
      <c r="N38" s="145"/>
      <c r="O38" s="100"/>
      <c r="P38" s="100"/>
      <c r="Q38" s="145"/>
      <c r="R38" s="145"/>
      <c r="S38" s="100"/>
      <c r="T38" s="100"/>
      <c r="U38" s="100"/>
      <c r="V38" s="100"/>
      <c r="W38" s="103"/>
      <c r="X38" s="141">
        <f>COUNTIF(L39:V39,$R$51)+COUNTIF(L39:V39,$S$51)+COUNTIF(L39:V39,$M$51)+COUNTIF(L39:V39,$N$51)+COUNTIF(L39:V39,$O$51)+COUNTIF(L39:V39,$P$51)+COUNTIF(L39:V39,$Q$51)</f>
      </c>
    </row>
    <row x14ac:dyDescent="0.25" r="39" customHeight="1" ht="27.75">
      <c r="A39" s="142"/>
      <c r="B39" s="281"/>
      <c r="C39" s="136"/>
      <c r="D39" s="110"/>
      <c r="E39" s="110"/>
      <c r="F39" s="110"/>
      <c r="G39" s="111"/>
      <c r="H39" s="112"/>
      <c r="I39" s="144"/>
      <c r="J39" s="144"/>
      <c r="K39" s="144"/>
      <c r="L39" s="100"/>
      <c r="M39" s="100"/>
      <c r="N39" s="145"/>
      <c r="O39" s="100"/>
      <c r="P39" s="100"/>
      <c r="Q39" s="145"/>
      <c r="R39" s="145"/>
      <c r="S39" s="100"/>
      <c r="T39" s="100"/>
      <c r="U39" s="100"/>
      <c r="V39" s="100"/>
      <c r="W39" s="103"/>
      <c r="X39" s="141">
        <f>COUNTIF(L40:V40,$R$51)+COUNTIF(L40:V40,$S$51)+COUNTIF(L40:V40,$M$51)+COUNTIF(L40:V40,$N$51)+COUNTIF(L40:V40,$O$51)+COUNTIF(L40:V40,$P$51)+COUNTIF(L40:V40,$Q$51)</f>
      </c>
    </row>
    <row x14ac:dyDescent="0.25" r="40" customHeight="1" ht="27.75">
      <c r="A40" s="134" t="s">
        <v>114</v>
      </c>
      <c r="B40" s="282"/>
      <c r="C40" s="136"/>
      <c r="D40" s="110"/>
      <c r="E40" s="110"/>
      <c r="F40" s="110"/>
      <c r="G40" s="111"/>
      <c r="H40" s="112"/>
      <c r="I40" s="144"/>
      <c r="J40" s="144"/>
      <c r="K40" s="144"/>
      <c r="L40" s="100"/>
      <c r="M40" s="100"/>
      <c r="N40" s="145"/>
      <c r="O40" s="100"/>
      <c r="P40" s="100"/>
      <c r="Q40" s="145"/>
      <c r="R40" s="145"/>
      <c r="S40" s="100"/>
      <c r="T40" s="100"/>
      <c r="U40" s="100"/>
      <c r="V40" s="100"/>
      <c r="W40" s="103"/>
      <c r="X40" s="141">
        <f>COUNTIF(L41:V41,$R$51)+COUNTIF(L41:V41,$S$51)+COUNTIF(L41:V41,$M$51)+COUNTIF(L41:V41,$N$51)+COUNTIF(L41:V41,$O$51)+COUNTIF(L41:V41,$P$51)+COUNTIF(L41:V41,$Q$51)</f>
      </c>
    </row>
    <row x14ac:dyDescent="0.25" r="41" customHeight="1" ht="27.75">
      <c r="A41" s="142"/>
      <c r="B41" s="281"/>
      <c r="C41" s="136"/>
      <c r="D41" s="110"/>
      <c r="E41" s="110"/>
      <c r="F41" s="110"/>
      <c r="G41" s="111"/>
      <c r="H41" s="112"/>
      <c r="I41" s="144"/>
      <c r="J41" s="144"/>
      <c r="K41" s="144"/>
      <c r="L41" s="100"/>
      <c r="M41" s="100"/>
      <c r="N41" s="145"/>
      <c r="O41" s="100"/>
      <c r="P41" s="100"/>
      <c r="Q41" s="145"/>
      <c r="R41" s="145"/>
      <c r="S41" s="100"/>
      <c r="T41" s="100"/>
      <c r="U41" s="100"/>
      <c r="V41" s="100"/>
      <c r="W41" s="103"/>
      <c r="X41" s="141">
        <f>COUNTIF(L42:V42,$R$51)+COUNTIF(L42:V42,$S$51)+COUNTIF(L42:V42,$M$51)+COUNTIF(L42:V42,$N$51)+COUNTIF(L42:V42,$O$51)+COUNTIF(L42:V42,$P$51)+COUNTIF(L42:V42,$Q$51)</f>
      </c>
    </row>
    <row x14ac:dyDescent="0.25" r="42" customHeight="1" ht="27.75">
      <c r="A42" s="142"/>
      <c r="B42" s="281"/>
      <c r="C42" s="136"/>
      <c r="D42" s="110"/>
      <c r="E42" s="110"/>
      <c r="F42" s="110"/>
      <c r="G42" s="111"/>
      <c r="H42" s="112"/>
      <c r="I42" s="144"/>
      <c r="J42" s="144"/>
      <c r="K42" s="144"/>
      <c r="L42" s="100"/>
      <c r="M42" s="100"/>
      <c r="N42" s="145"/>
      <c r="O42" s="100"/>
      <c r="P42" s="100"/>
      <c r="Q42" s="145"/>
      <c r="R42" s="145"/>
      <c r="S42" s="100"/>
      <c r="T42" s="100"/>
      <c r="U42" s="100"/>
      <c r="V42" s="100"/>
      <c r="W42" s="103"/>
      <c r="X42" s="141">
        <f>COUNTIF(#REF!,$R$51)+COUNTIF(#REF!,$S$51)+COUNTIF(#REF!,$M$51)+COUNTIF(#REF!,$N$51)+COUNTIF(#REF!,$O$51)+COUNTIF(#REF!,$P$51)+COUNTIF(#REF!,$Q$51)</f>
      </c>
    </row>
    <row x14ac:dyDescent="0.25" r="43" customHeight="1" ht="27.75">
      <c r="A43" s="134" t="s">
        <v>79</v>
      </c>
      <c r="B43" s="282"/>
      <c r="C43" s="136"/>
      <c r="D43" s="110"/>
      <c r="E43" s="110"/>
      <c r="F43" s="110"/>
      <c r="G43" s="111"/>
      <c r="H43" s="112"/>
      <c r="I43" s="144"/>
      <c r="J43" s="144"/>
      <c r="K43" s="144"/>
      <c r="L43" s="100"/>
      <c r="M43" s="100"/>
      <c r="N43" s="145"/>
      <c r="O43" s="100"/>
      <c r="P43" s="100"/>
      <c r="Q43" s="145"/>
      <c r="R43" s="145"/>
      <c r="S43" s="100"/>
      <c r="T43" s="100"/>
      <c r="U43" s="100"/>
      <c r="V43" s="100"/>
      <c r="W43" s="103"/>
      <c r="X43" s="141"/>
    </row>
    <row x14ac:dyDescent="0.25" r="44" customHeight="1" ht="27.75">
      <c r="A44" s="142"/>
      <c r="B44" s="281"/>
      <c r="C44" s="136"/>
      <c r="D44" s="110"/>
      <c r="E44" s="110"/>
      <c r="F44" s="110"/>
      <c r="G44" s="111"/>
      <c r="H44" s="112"/>
      <c r="I44" s="144"/>
      <c r="J44" s="144"/>
      <c r="K44" s="144"/>
      <c r="L44" s="100"/>
      <c r="M44" s="100"/>
      <c r="N44" s="145"/>
      <c r="O44" s="100"/>
      <c r="P44" s="100"/>
      <c r="Q44" s="145"/>
      <c r="R44" s="145"/>
      <c r="S44" s="100"/>
      <c r="T44" s="100"/>
      <c r="U44" s="100"/>
      <c r="V44" s="100"/>
      <c r="W44" s="103"/>
      <c r="X44" s="148"/>
    </row>
    <row x14ac:dyDescent="0.25" r="45" customHeight="1" ht="27.75">
      <c r="A45" s="142"/>
      <c r="B45" s="281"/>
      <c r="C45" s="136"/>
      <c r="D45" s="110"/>
      <c r="E45" s="110"/>
      <c r="F45" s="110"/>
      <c r="G45" s="111"/>
      <c r="H45" s="112"/>
      <c r="I45" s="144"/>
      <c r="J45" s="144"/>
      <c r="K45" s="144"/>
      <c r="L45" s="100"/>
      <c r="M45" s="100"/>
      <c r="N45" s="145"/>
      <c r="O45" s="100"/>
      <c r="P45" s="100"/>
      <c r="Q45" s="145"/>
      <c r="R45" s="145"/>
      <c r="S45" s="100"/>
      <c r="T45" s="100"/>
      <c r="U45" s="100"/>
      <c r="V45" s="100"/>
      <c r="W45" s="103"/>
      <c r="X45" s="151"/>
    </row>
    <row x14ac:dyDescent="0.25" r="46" customHeight="1" ht="27.75">
      <c r="A46" s="134" t="s">
        <v>82</v>
      </c>
      <c r="B46" s="282"/>
      <c r="C46" s="136"/>
      <c r="D46" s="110"/>
      <c r="E46" s="110"/>
      <c r="F46" s="110"/>
      <c r="G46" s="111"/>
      <c r="H46" s="112"/>
      <c r="I46" s="144"/>
      <c r="J46" s="144"/>
      <c r="K46" s="144"/>
      <c r="L46" s="100"/>
      <c r="M46" s="100"/>
      <c r="N46" s="145"/>
      <c r="O46" s="100"/>
      <c r="P46" s="100"/>
      <c r="Q46" s="145"/>
      <c r="R46" s="145"/>
      <c r="S46" s="100"/>
      <c r="T46" s="100"/>
      <c r="U46" s="100"/>
      <c r="V46" s="100"/>
      <c r="W46" s="103"/>
      <c r="X46" s="151"/>
    </row>
    <row x14ac:dyDescent="0.25" r="47" customHeight="1" ht="27.75">
      <c r="A47" s="142"/>
      <c r="B47" s="281"/>
      <c r="C47" s="136"/>
      <c r="D47" s="110"/>
      <c r="E47" s="110"/>
      <c r="F47" s="110"/>
      <c r="G47" s="111"/>
      <c r="H47" s="149"/>
      <c r="I47" s="153"/>
      <c r="J47" s="153"/>
      <c r="K47" s="153"/>
      <c r="L47" s="158"/>
      <c r="M47" s="158"/>
      <c r="N47" s="159"/>
      <c r="O47" s="158"/>
      <c r="P47" s="158"/>
      <c r="Q47" s="159"/>
      <c r="R47" s="159"/>
      <c r="S47" s="158"/>
      <c r="T47" s="158"/>
      <c r="U47" s="158"/>
      <c r="V47" s="158"/>
      <c r="W47" s="103"/>
      <c r="X47" s="151"/>
    </row>
    <row x14ac:dyDescent="0.25" r="48" customHeight="1" ht="27.75">
      <c r="A48" s="156"/>
      <c r="B48" s="283"/>
      <c r="C48" s="136"/>
      <c r="D48" s="110"/>
      <c r="E48" s="110"/>
      <c r="F48" s="110"/>
      <c r="G48" s="111"/>
      <c r="H48" s="152"/>
      <c r="I48" s="154"/>
      <c r="J48" s="154"/>
      <c r="K48" s="154"/>
      <c r="L48" s="166"/>
      <c r="M48" s="166"/>
      <c r="N48" s="167"/>
      <c r="O48" s="166"/>
      <c r="P48" s="166"/>
      <c r="Q48" s="167"/>
      <c r="R48" s="167"/>
      <c r="S48" s="166"/>
      <c r="T48" s="166"/>
      <c r="U48" s="166"/>
      <c r="V48" s="166"/>
      <c r="W48" s="103"/>
      <c r="X48" s="151"/>
    </row>
    <row x14ac:dyDescent="0.25" r="49" customHeight="1" ht="26.25">
      <c r="A49" s="163"/>
      <c r="B49" s="164"/>
      <c r="C49" s="136"/>
      <c r="D49" s="165"/>
      <c r="E49" s="165"/>
      <c r="F49" s="165"/>
      <c r="G49" s="165"/>
      <c r="H49" s="152"/>
      <c r="I49" s="154"/>
      <c r="J49" s="154"/>
      <c r="K49" s="154"/>
      <c r="L49" s="166"/>
      <c r="M49" s="166"/>
      <c r="N49" s="167"/>
      <c r="O49" s="166"/>
      <c r="P49" s="166"/>
      <c r="Q49" s="167"/>
      <c r="R49" s="167"/>
      <c r="S49" s="166"/>
      <c r="T49" s="166"/>
      <c r="U49" s="166"/>
      <c r="V49" s="166"/>
      <c r="W49" s="162"/>
      <c r="X49" s="151"/>
    </row>
    <row x14ac:dyDescent="0.25" r="50" customHeight="1" ht="26.25">
      <c r="A50" s="163"/>
      <c r="B50" s="164"/>
      <c r="C50" s="136"/>
      <c r="D50" s="165"/>
      <c r="E50" s="165"/>
      <c r="F50" s="165"/>
      <c r="G50" s="165"/>
      <c r="H50" s="152"/>
      <c r="I50" s="154"/>
      <c r="J50" s="154"/>
      <c r="K50" s="154"/>
      <c r="L50" s="166"/>
      <c r="M50" s="166"/>
      <c r="N50" s="167"/>
      <c r="O50" s="166"/>
      <c r="P50" s="166"/>
      <c r="Q50" s="167"/>
      <c r="R50" s="167"/>
      <c r="S50" s="166"/>
      <c r="T50" s="166"/>
      <c r="U50" s="166"/>
      <c r="V50" s="166"/>
      <c r="W50" s="169"/>
      <c r="X50" s="151"/>
    </row>
    <row x14ac:dyDescent="0.25" r="51" customHeight="1" ht="26.25">
      <c r="A51" s="163"/>
      <c r="B51" s="164"/>
      <c r="C51" s="136"/>
      <c r="D51" s="165"/>
      <c r="E51" s="165"/>
      <c r="F51" s="165"/>
      <c r="G51" s="165"/>
      <c r="H51" s="4"/>
      <c r="I51" s="152" t="s">
        <v>83</v>
      </c>
      <c r="J51" s="154"/>
      <c r="K51" s="154"/>
      <c r="L51" s="170" t="s">
        <v>50</v>
      </c>
      <c r="M51" s="171" t="s">
        <v>61</v>
      </c>
      <c r="N51" s="171" t="s">
        <v>54</v>
      </c>
      <c r="O51" s="171" t="s">
        <v>51</v>
      </c>
      <c r="P51" s="171" t="s">
        <v>84</v>
      </c>
      <c r="Q51" s="172" t="s">
        <v>52</v>
      </c>
      <c r="R51" s="172" t="s">
        <v>57</v>
      </c>
      <c r="S51" s="172" t="s">
        <v>69</v>
      </c>
      <c r="T51" s="209" t="s">
        <v>49</v>
      </c>
      <c r="U51" s="209" t="s">
        <v>110</v>
      </c>
      <c r="V51" s="209" t="s">
        <v>116</v>
      </c>
      <c r="W51" s="169"/>
      <c r="X51" s="151"/>
    </row>
    <row x14ac:dyDescent="0.25" r="52" customHeight="1" ht="18.75" hidden="1">
      <c r="A52" s="4"/>
      <c r="B52" s="2"/>
      <c r="C52" s="136"/>
      <c r="D52" s="4"/>
      <c r="E52" s="4"/>
      <c r="F52" s="4"/>
      <c r="G52" s="4"/>
      <c r="H52" s="4"/>
      <c r="I52" s="74"/>
      <c r="J52" s="74"/>
      <c r="K52" s="74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69"/>
      <c r="X52" s="175">
        <f>COUNTIF(#REF!,$R$51)+COUNTIF(#REF!,$S$51)+COUNTIF(#REF!,$M$51)+COUNTIF(#REF!,$N$51)+COUNTIF(#REF!,$O$51)+COUNTIF(#REF!,$P$51)+COUNTIF(#REF!,$Q$51)</f>
      </c>
    </row>
  </sheetData>
  <mergeCells count="43">
    <mergeCell ref="H1:W1"/>
    <mergeCell ref="A2:B2"/>
    <mergeCell ref="H2:W2"/>
    <mergeCell ref="H3:I3"/>
    <mergeCell ref="H4:I4"/>
    <mergeCell ref="H5:I5"/>
    <mergeCell ref="D6:D18"/>
    <mergeCell ref="H6:I6"/>
    <mergeCell ref="H7:I7"/>
    <mergeCell ref="E8:E18"/>
    <mergeCell ref="F8:F18"/>
    <mergeCell ref="G8:G18"/>
    <mergeCell ref="H8:I8"/>
    <mergeCell ref="H9:I9"/>
    <mergeCell ref="H10:I10"/>
    <mergeCell ref="H11:I11"/>
    <mergeCell ref="H12:I12"/>
    <mergeCell ref="H13:I13"/>
    <mergeCell ref="A14:B14"/>
    <mergeCell ref="H14:I14"/>
    <mergeCell ref="H16:W16"/>
    <mergeCell ref="A26:B26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0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79" width="21.005" customWidth="1" bestFit="1"/>
    <col min="11" max="11" style="179" width="14.147857142857141" customWidth="1" bestFit="1"/>
    <col min="12" max="12" style="211" width="15.576428571428572" customWidth="1" bestFit="1"/>
    <col min="13" max="13" style="211" width="15.576428571428572" customWidth="1" bestFit="1"/>
    <col min="14" max="14" style="211" width="15.576428571428572" customWidth="1" bestFit="1"/>
    <col min="15" max="15" style="211" width="15.576428571428572" customWidth="1" bestFit="1"/>
    <col min="16" max="16" style="211" width="15.576428571428572" customWidth="1" bestFit="1"/>
    <col min="17" max="17" style="211" width="15.576428571428572" customWidth="1" bestFit="1"/>
    <col min="18" max="18" style="211" width="15.576428571428572" customWidth="1" bestFit="1"/>
    <col min="19" max="19" style="211" width="15.576428571428572" customWidth="1" bestFit="1"/>
    <col min="20" max="20" style="211" width="15.576428571428572" customWidth="1" bestFit="1"/>
    <col min="21" max="21" style="211" width="15.576428571428572" customWidth="1" bestFit="1"/>
    <col min="22" max="22" style="211" width="15.576428571428572" customWidth="1" bestFit="1"/>
    <col min="23" max="23" style="177" width="34.86214285714286" customWidth="1" bestFit="1"/>
    <col min="24" max="24" style="183" width="13.576428571428572" customWidth="1" bestFit="1" hidden="1"/>
  </cols>
  <sheetData>
    <row x14ac:dyDescent="0.25" r="1" customHeight="1" ht="88.5">
      <c r="A1" s="4"/>
      <c r="B1" s="2"/>
      <c r="C1" s="3"/>
      <c r="D1" s="4"/>
      <c r="E1" s="184"/>
      <c r="F1" s="4"/>
      <c r="G1" s="4"/>
      <c r="H1" s="5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9"/>
      <c r="X1" s="10"/>
    </row>
    <row x14ac:dyDescent="0.25" r="2" customHeight="1" ht="30">
      <c r="A2" s="11" t="s">
        <v>117</v>
      </c>
      <c r="B2" s="12"/>
      <c r="C2" s="3"/>
      <c r="D2" s="4"/>
      <c r="E2" s="4"/>
      <c r="F2" s="4"/>
      <c r="G2" s="4"/>
      <c r="H2" s="13" t="s">
        <v>2</v>
      </c>
      <c r="I2" s="14"/>
      <c r="J2" s="14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85"/>
      <c r="X2" s="19"/>
    </row>
    <row x14ac:dyDescent="0.25" r="3" customHeight="1" ht="27.75">
      <c r="A3" s="20" t="s">
        <v>3</v>
      </c>
      <c r="B3" s="186" t="s">
        <v>118</v>
      </c>
      <c r="C3" s="3"/>
      <c r="D3" s="4"/>
      <c r="E3" s="4"/>
      <c r="F3" s="4"/>
      <c r="G3" s="4"/>
      <c r="H3" s="23" t="s">
        <v>6</v>
      </c>
      <c r="I3" s="24"/>
      <c r="J3" s="24"/>
      <c r="K3" s="24"/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19"/>
    </row>
    <row x14ac:dyDescent="0.25" r="4" customHeight="1" ht="27.75">
      <c r="A4" s="30" t="s">
        <v>15</v>
      </c>
      <c r="B4" s="31">
        <v>15188</v>
      </c>
      <c r="C4" s="32"/>
      <c r="D4" s="34"/>
      <c r="E4" s="34"/>
      <c r="F4" s="34"/>
      <c r="G4" s="34"/>
      <c r="H4" s="35" t="s">
        <v>16</v>
      </c>
      <c r="I4" s="36"/>
      <c r="J4" s="36"/>
      <c r="K4" s="36"/>
      <c r="L4" s="37">
        <v>0.03</v>
      </c>
      <c r="M4" s="37">
        <v>0.07</v>
      </c>
      <c r="N4" s="37">
        <v>0.1</v>
      </c>
      <c r="O4" s="37">
        <v>0.14</v>
      </c>
      <c r="P4" s="37">
        <v>0.15</v>
      </c>
      <c r="Q4" s="37">
        <v>0.15</v>
      </c>
      <c r="R4" s="37">
        <v>0.13</v>
      </c>
      <c r="S4" s="37">
        <v>0.11</v>
      </c>
      <c r="T4" s="37">
        <v>0.07</v>
      </c>
      <c r="U4" s="37">
        <v>0.03</v>
      </c>
      <c r="V4" s="37">
        <v>0.02</v>
      </c>
      <c r="W4" s="38" t="s">
        <v>17</v>
      </c>
      <c r="X4" s="28"/>
    </row>
    <row x14ac:dyDescent="0.25" r="5" customHeight="1" ht="27.75">
      <c r="A5" s="30" t="s">
        <v>18</v>
      </c>
      <c r="B5" s="31">
        <v>16000</v>
      </c>
      <c r="C5" s="3"/>
      <c r="D5" s="34"/>
      <c r="E5" s="34"/>
      <c r="F5" s="34"/>
      <c r="G5" s="34"/>
      <c r="H5" s="39" t="s">
        <v>20</v>
      </c>
      <c r="I5" s="40"/>
      <c r="J5" s="40"/>
      <c r="K5" s="40"/>
      <c r="L5" s="41">
        <f>SUM(L$4:L$4)*$B$4</f>
      </c>
      <c r="M5" s="41">
        <f>SUM(L4:M4)*$B$4</f>
      </c>
      <c r="N5" s="41">
        <f>SUM(L4:N4)*$B$4</f>
      </c>
      <c r="O5" s="41">
        <f>SUM(L4:O4)*$B$4</f>
      </c>
      <c r="P5" s="41">
        <f>SUM(L4:P4)*$B$4</f>
      </c>
      <c r="Q5" s="41">
        <f>SUM(L4:Q4)*$B$4</f>
      </c>
      <c r="R5" s="41">
        <f>SUM(L4:R4)*$B$4</f>
      </c>
      <c r="S5" s="41">
        <f>SUM(L4:S4)*$B$4</f>
      </c>
      <c r="T5" s="41">
        <f>SUM(L4:T4)*$B$4</f>
      </c>
      <c r="U5" s="41">
        <f>SUM(L4:U4)*$B$4</f>
      </c>
      <c r="V5" s="41">
        <f>SUM(L4:V4)*$B$4</f>
      </c>
      <c r="W5" s="42"/>
      <c r="X5" s="28"/>
    </row>
    <row x14ac:dyDescent="0.25" r="6" customHeight="1" ht="27.75">
      <c r="A6" s="30" t="s">
        <v>21</v>
      </c>
      <c r="B6" s="31">
        <v>14000</v>
      </c>
      <c r="C6" s="43">
        <f>B5/B4</f>
      </c>
      <c r="D6" s="22" t="s">
        <v>5</v>
      </c>
      <c r="E6" s="44"/>
      <c r="F6" s="44"/>
      <c r="G6" s="44"/>
      <c r="H6" s="39" t="s">
        <v>22</v>
      </c>
      <c r="I6" s="40"/>
      <c r="J6" s="40"/>
      <c r="K6" s="40"/>
      <c r="L6" s="41">
        <f>SUM(L4:L4)*$B$5</f>
      </c>
      <c r="M6" s="41">
        <f>SUM(L4:M4)*$B$5</f>
      </c>
      <c r="N6" s="41">
        <f>SUM(L4:N4)*$B$5</f>
      </c>
      <c r="O6" s="41">
        <f>SUM(L4:O4)*$B$5</f>
      </c>
      <c r="P6" s="41">
        <f>SUM(L4:P4)*$B$5</f>
      </c>
      <c r="Q6" s="41">
        <f>SUM(L4:Q4)*$B$5</f>
      </c>
      <c r="R6" s="41">
        <f>SUM(L4:R4)*$B$5</f>
      </c>
      <c r="S6" s="41">
        <f>SUM(L4:S4)*$B$5</f>
      </c>
      <c r="T6" s="41">
        <f>SUM(L4:T4)*$B$5</f>
      </c>
      <c r="U6" s="41">
        <f>SUM(L4:U4)*$B$5</f>
      </c>
      <c r="V6" s="41">
        <f>SUM(L4:V4)*$B$5</f>
      </c>
      <c r="W6" s="42"/>
      <c r="X6" s="28"/>
    </row>
    <row x14ac:dyDescent="0.25" r="7" customHeight="1" ht="27.75">
      <c r="A7" s="30" t="s">
        <v>23</v>
      </c>
      <c r="B7" s="45">
        <v>700</v>
      </c>
      <c r="C7" s="3"/>
      <c r="D7" s="33"/>
      <c r="E7" s="34"/>
      <c r="F7" s="34"/>
      <c r="G7" s="34"/>
      <c r="H7" s="46" t="s">
        <v>26</v>
      </c>
      <c r="I7" s="47"/>
      <c r="J7" s="47"/>
      <c r="K7" s="47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.75">
      <c r="A8" s="30" t="s">
        <v>27</v>
      </c>
      <c r="B8" s="49">
        <v>-0.1</v>
      </c>
      <c r="C8" s="3"/>
      <c r="D8" s="33"/>
      <c r="E8" s="22" t="s">
        <v>19</v>
      </c>
      <c r="F8" s="22" t="s">
        <v>24</v>
      </c>
      <c r="G8" s="22" t="s">
        <v>25</v>
      </c>
      <c r="H8" s="50" t="s">
        <v>28</v>
      </c>
      <c r="I8" s="51"/>
      <c r="J8" s="51"/>
      <c r="K8" s="51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.75">
      <c r="A9" s="30" t="s">
        <v>29</v>
      </c>
      <c r="B9" s="53">
        <v>1000</v>
      </c>
      <c r="C9" s="3"/>
      <c r="D9" s="33"/>
      <c r="E9" s="33"/>
      <c r="F9" s="33"/>
      <c r="G9" s="33"/>
      <c r="H9" s="46" t="s">
        <v>30</v>
      </c>
      <c r="I9" s="54"/>
      <c r="J9" s="54"/>
      <c r="K9" s="54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.75">
      <c r="A10" s="30" t="s">
        <v>31</v>
      </c>
      <c r="B10" s="53">
        <f>B11*B9</f>
      </c>
      <c r="C10" s="3"/>
      <c r="D10" s="33"/>
      <c r="E10" s="33"/>
      <c r="F10" s="33"/>
      <c r="G10" s="33"/>
      <c r="H10" s="46" t="s">
        <v>32</v>
      </c>
      <c r="I10" s="47"/>
      <c r="J10" s="47"/>
      <c r="K10" s="47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7"/>
      <c r="J11" s="47"/>
      <c r="K11" s="4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.75">
      <c r="A12" s="30" t="s">
        <v>34</v>
      </c>
      <c r="B12" s="60">
        <v>2.3</v>
      </c>
      <c r="C12" s="29"/>
      <c r="D12" s="33"/>
      <c r="E12" s="33"/>
      <c r="F12" s="33"/>
      <c r="G12" s="33"/>
      <c r="H12" s="46" t="s">
        <v>35</v>
      </c>
      <c r="I12" s="47"/>
      <c r="J12" s="47"/>
      <c r="K12" s="47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f>B4/B10</f>
      </c>
      <c r="C13" s="3"/>
      <c r="D13" s="33"/>
      <c r="E13" s="33"/>
      <c r="F13" s="33"/>
      <c r="G13" s="33"/>
      <c r="H13" s="46" t="s">
        <v>36</v>
      </c>
      <c r="I13" s="63"/>
      <c r="J13" s="63"/>
      <c r="K13" s="63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7.75">
      <c r="A14" s="66" t="s">
        <v>37</v>
      </c>
      <c r="B14" s="67"/>
      <c r="C14" s="3"/>
      <c r="D14" s="33"/>
      <c r="E14" s="33"/>
      <c r="F14" s="33"/>
      <c r="G14" s="33"/>
      <c r="H14" s="68" t="s">
        <v>38</v>
      </c>
      <c r="I14" s="69"/>
      <c r="J14" s="69"/>
      <c r="K14" s="69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.75">
      <c r="A15" s="20" t="s">
        <v>39</v>
      </c>
      <c r="B15" s="92">
        <v>453745</v>
      </c>
      <c r="C15" s="3"/>
      <c r="D15" s="33"/>
      <c r="E15" s="33"/>
      <c r="F15" s="33"/>
      <c r="G15" s="33"/>
      <c r="H15" s="4"/>
      <c r="I15" s="74"/>
      <c r="J15" s="74"/>
      <c r="K15" s="74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2"/>
      <c r="X15" s="72"/>
    </row>
    <row x14ac:dyDescent="0.25" r="16" customHeight="1" ht="27.75">
      <c r="A16" s="30" t="s">
        <v>40</v>
      </c>
      <c r="B16" s="212"/>
      <c r="C16" s="3"/>
      <c r="D16" s="33"/>
      <c r="E16" s="33"/>
      <c r="F16" s="33"/>
      <c r="G16" s="33"/>
      <c r="H16" s="79" t="s">
        <v>41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195"/>
      <c r="X16" s="65"/>
    </row>
    <row x14ac:dyDescent="0.25" r="17" customHeight="1" ht="27.75">
      <c r="A17" s="30" t="s">
        <v>42</v>
      </c>
      <c r="B17" s="213"/>
      <c r="C17" s="3"/>
      <c r="D17" s="33"/>
      <c r="E17" s="33"/>
      <c r="F17" s="33"/>
      <c r="G17" s="33"/>
      <c r="H17" s="86" t="s">
        <v>43</v>
      </c>
      <c r="I17" s="214" t="s">
        <v>44</v>
      </c>
      <c r="J17" s="214" t="s">
        <v>119</v>
      </c>
      <c r="K17" s="214" t="s">
        <v>120</v>
      </c>
      <c r="L17" s="215">
        <f>L$3</f>
      </c>
      <c r="M17" s="215">
        <f>M$3</f>
      </c>
      <c r="N17" s="215">
        <f>N$3</f>
      </c>
      <c r="O17" s="215">
        <f>O$3</f>
      </c>
      <c r="P17" s="215">
        <f>P$3</f>
      </c>
      <c r="Q17" s="215">
        <f>Q$3</f>
      </c>
      <c r="R17" s="215">
        <f>R$3</f>
      </c>
      <c r="S17" s="215">
        <f>S$3</f>
      </c>
      <c r="T17" s="215">
        <f>T$3</f>
      </c>
      <c r="U17" s="215">
        <f>U$3</f>
      </c>
      <c r="V17" s="215">
        <f>V$3</f>
      </c>
      <c r="W17" s="198" t="s">
        <v>46</v>
      </c>
      <c r="X17" s="72"/>
    </row>
    <row x14ac:dyDescent="0.25" r="18" customHeight="1" ht="27.75">
      <c r="A18" s="30" t="s">
        <v>121</v>
      </c>
      <c r="B18" s="216"/>
      <c r="C18" s="3"/>
      <c r="D18" s="33"/>
      <c r="E18" s="33"/>
      <c r="F18" s="33"/>
      <c r="G18" s="33"/>
      <c r="H18" s="113" t="s">
        <v>122</v>
      </c>
      <c r="I18" s="113" t="s">
        <v>93</v>
      </c>
      <c r="J18" s="217"/>
      <c r="K18" s="217" t="s">
        <v>49</v>
      </c>
      <c r="L18" s="98" t="s">
        <v>110</v>
      </c>
      <c r="M18" s="218" t="s">
        <v>110</v>
      </c>
      <c r="N18" s="122" t="s">
        <v>110</v>
      </c>
      <c r="O18" s="122" t="s">
        <v>110</v>
      </c>
      <c r="P18" s="122" t="s">
        <v>54</v>
      </c>
      <c r="Q18" s="122" t="s">
        <v>61</v>
      </c>
      <c r="R18" s="122" t="s">
        <v>61</v>
      </c>
      <c r="S18" s="98"/>
      <c r="T18" s="98"/>
      <c r="U18" s="98"/>
      <c r="V18" s="98"/>
      <c r="W18" s="219"/>
      <c r="X18" s="65"/>
    </row>
    <row x14ac:dyDescent="0.25" r="19" customHeight="1" ht="18.75" hidden="1">
      <c r="A19" s="108"/>
      <c r="B19" s="109">
        <f>#REF!+B15</f>
      </c>
      <c r="C19" s="3"/>
      <c r="D19" s="110"/>
      <c r="E19" s="110"/>
      <c r="F19" s="110"/>
      <c r="G19" s="111"/>
      <c r="H19" s="113"/>
      <c r="I19" s="144"/>
      <c r="J19" s="144"/>
      <c r="K19" s="220"/>
      <c r="L19" s="98"/>
      <c r="M19" s="98"/>
      <c r="N19" s="98"/>
      <c r="O19" s="98"/>
      <c r="P19" s="98"/>
      <c r="Q19" s="98"/>
      <c r="R19" s="137"/>
      <c r="S19" s="98"/>
      <c r="T19" s="98"/>
      <c r="U19" s="98"/>
      <c r="V19" s="98"/>
      <c r="W19" s="219"/>
      <c r="X19" s="65"/>
    </row>
    <row x14ac:dyDescent="0.25" r="20" customHeight="1" ht="18.75" hidden="1">
      <c r="A20" s="114"/>
      <c r="B20" s="115">
        <v>1</v>
      </c>
      <c r="C20" s="3"/>
      <c r="D20" s="110"/>
      <c r="E20" s="110"/>
      <c r="F20" s="110"/>
      <c r="G20" s="111"/>
      <c r="H20" s="113"/>
      <c r="I20" s="144"/>
      <c r="J20" s="144"/>
      <c r="K20" s="220"/>
      <c r="L20" s="98"/>
      <c r="M20" s="98"/>
      <c r="N20" s="98"/>
      <c r="O20" s="98"/>
      <c r="P20" s="98"/>
      <c r="Q20" s="98"/>
      <c r="R20" s="137"/>
      <c r="S20" s="98"/>
      <c r="T20" s="98"/>
      <c r="U20" s="98"/>
      <c r="V20" s="98"/>
      <c r="W20" s="219"/>
      <c r="X20" s="72"/>
    </row>
    <row x14ac:dyDescent="0.25" r="21" customHeight="1" ht="27.75">
      <c r="A21" s="119" t="s">
        <v>64</v>
      </c>
      <c r="B21" s="120"/>
      <c r="C21" s="3"/>
      <c r="D21" s="110"/>
      <c r="E21" s="110"/>
      <c r="F21" s="110"/>
      <c r="G21" s="111"/>
      <c r="H21" s="113" t="s">
        <v>92</v>
      </c>
      <c r="I21" s="113" t="s">
        <v>48</v>
      </c>
      <c r="J21" s="144"/>
      <c r="K21" s="217"/>
      <c r="L21" s="122" t="s">
        <v>50</v>
      </c>
      <c r="M21" s="221" t="s">
        <v>50</v>
      </c>
      <c r="N21" s="221" t="s">
        <v>50</v>
      </c>
      <c r="O21" s="221" t="s">
        <v>54</v>
      </c>
      <c r="P21" s="221" t="s">
        <v>54</v>
      </c>
      <c r="Q21" s="221" t="s">
        <v>54</v>
      </c>
      <c r="R21" s="222" t="s">
        <v>50</v>
      </c>
      <c r="S21" s="221" t="s">
        <v>50</v>
      </c>
      <c r="T21" s="98"/>
      <c r="U21" s="98"/>
      <c r="V21" s="98"/>
      <c r="W21" s="219"/>
      <c r="X21" s="72"/>
    </row>
    <row x14ac:dyDescent="0.25" r="22" customHeight="1" ht="27.75">
      <c r="A22" s="119" t="s">
        <v>66</v>
      </c>
      <c r="B22" s="120"/>
      <c r="C22" s="3"/>
      <c r="D22" s="110"/>
      <c r="E22" s="110"/>
      <c r="F22" s="110"/>
      <c r="G22" s="111"/>
      <c r="H22" s="113" t="s">
        <v>97</v>
      </c>
      <c r="I22" s="113" t="s">
        <v>96</v>
      </c>
      <c r="J22" s="144"/>
      <c r="K22" s="217"/>
      <c r="L22" s="122" t="s">
        <v>61</v>
      </c>
      <c r="M22" s="105"/>
      <c r="N22" s="105"/>
      <c r="O22" s="105"/>
      <c r="P22" s="105"/>
      <c r="Q22" s="98"/>
      <c r="R22" s="137"/>
      <c r="S22" s="98"/>
      <c r="T22" s="98"/>
      <c r="U22" s="98"/>
      <c r="V22" s="98"/>
      <c r="W22" s="219"/>
      <c r="X22" s="72"/>
    </row>
    <row x14ac:dyDescent="0.25" r="23" customHeight="1" ht="27.75">
      <c r="A23" s="223" t="s">
        <v>75</v>
      </c>
      <c r="B23" s="2"/>
      <c r="C23" s="3"/>
      <c r="D23" s="110"/>
      <c r="E23" s="110"/>
      <c r="F23" s="110"/>
      <c r="G23" s="111"/>
      <c r="H23" s="113" t="s">
        <v>123</v>
      </c>
      <c r="I23" s="113" t="s">
        <v>56</v>
      </c>
      <c r="J23" s="144"/>
      <c r="K23" s="220"/>
      <c r="L23" s="98"/>
      <c r="M23" s="98" t="s">
        <v>57</v>
      </c>
      <c r="N23" s="106" t="s">
        <v>57</v>
      </c>
      <c r="O23" s="106" t="s">
        <v>57</v>
      </c>
      <c r="P23" s="106" t="s">
        <v>52</v>
      </c>
      <c r="Q23" s="106" t="s">
        <v>52</v>
      </c>
      <c r="R23" s="98"/>
      <c r="S23" s="98"/>
      <c r="T23" s="98"/>
      <c r="U23" s="98"/>
      <c r="V23" s="98"/>
      <c r="W23" s="224"/>
      <c r="X23" s="141"/>
    </row>
    <row x14ac:dyDescent="0.25" r="24" customHeight="1" ht="27.75">
      <c r="A24" s="119" t="s">
        <v>124</v>
      </c>
      <c r="B24" s="120"/>
      <c r="C24" s="3"/>
      <c r="D24" s="110"/>
      <c r="E24" s="110"/>
      <c r="F24" s="110"/>
      <c r="G24" s="111"/>
      <c r="H24" s="113" t="s">
        <v>125</v>
      </c>
      <c r="I24" s="113" t="s">
        <v>63</v>
      </c>
      <c r="J24" s="144"/>
      <c r="K24" s="220"/>
      <c r="L24" s="98"/>
      <c r="M24" s="98"/>
      <c r="N24" s="98" t="s">
        <v>61</v>
      </c>
      <c r="O24" s="121" t="s">
        <v>61</v>
      </c>
      <c r="P24" s="121" t="s">
        <v>57</v>
      </c>
      <c r="Q24" s="121" t="s">
        <v>57</v>
      </c>
      <c r="R24" s="121" t="s">
        <v>57</v>
      </c>
      <c r="S24" s="98"/>
      <c r="T24" s="98"/>
      <c r="U24" s="98"/>
      <c r="V24" s="98"/>
      <c r="W24" s="224"/>
      <c r="X24" s="141"/>
    </row>
    <row x14ac:dyDescent="0.25" r="25" customHeight="1" ht="27.75">
      <c r="A25" s="225"/>
      <c r="B25" s="120"/>
      <c r="C25" s="3"/>
      <c r="D25" s="110"/>
      <c r="E25" s="110"/>
      <c r="F25" s="226"/>
      <c r="G25" s="227"/>
      <c r="H25" s="113" t="s">
        <v>60</v>
      </c>
      <c r="I25" s="113" t="s">
        <v>63</v>
      </c>
      <c r="J25" s="144"/>
      <c r="K25" s="220"/>
      <c r="L25" s="98"/>
      <c r="M25" s="98"/>
      <c r="N25" s="98" t="s">
        <v>52</v>
      </c>
      <c r="O25" s="118"/>
      <c r="P25" s="118" t="s">
        <v>61</v>
      </c>
      <c r="Q25" s="121" t="s">
        <v>61</v>
      </c>
      <c r="R25" s="121" t="s">
        <v>61</v>
      </c>
      <c r="S25" s="98"/>
      <c r="T25" s="98"/>
      <c r="U25" s="98"/>
      <c r="V25" s="98"/>
      <c r="W25" s="228"/>
      <c r="X25" s="229"/>
    </row>
    <row x14ac:dyDescent="0.25" r="26" customHeight="1" ht="27.75">
      <c r="A26" s="230"/>
      <c r="B26" s="130"/>
      <c r="C26" s="231"/>
      <c r="D26" s="110"/>
      <c r="E26" s="110"/>
      <c r="F26" s="226"/>
      <c r="G26" s="232"/>
      <c r="H26" s="146" t="s">
        <v>53</v>
      </c>
      <c r="I26" s="217" t="s">
        <v>101</v>
      </c>
      <c r="J26" s="220"/>
      <c r="K26" s="217"/>
      <c r="L26" s="98"/>
      <c r="M26" s="98"/>
      <c r="N26" s="98"/>
      <c r="O26" s="121" t="s">
        <v>50</v>
      </c>
      <c r="P26" s="121" t="s">
        <v>50</v>
      </c>
      <c r="Q26" s="121" t="s">
        <v>50</v>
      </c>
      <c r="R26" s="121" t="s">
        <v>52</v>
      </c>
      <c r="S26" s="98" t="s">
        <v>61</v>
      </c>
      <c r="T26" s="99" t="s">
        <v>50</v>
      </c>
      <c r="U26" s="99" t="s">
        <v>50</v>
      </c>
      <c r="V26" s="99" t="s">
        <v>50</v>
      </c>
      <c r="W26" s="233"/>
      <c r="X26" s="29"/>
    </row>
    <row x14ac:dyDescent="0.25" r="27" customHeight="1" ht="27.75">
      <c r="A27" s="230"/>
      <c r="B27" s="130"/>
      <c r="C27" s="234"/>
      <c r="D27" s="110"/>
      <c r="E27" s="111"/>
      <c r="F27" s="110"/>
      <c r="G27" s="235"/>
      <c r="H27" s="146" t="s">
        <v>55</v>
      </c>
      <c r="I27" s="217" t="s">
        <v>126</v>
      </c>
      <c r="J27" s="220"/>
      <c r="K27" s="217"/>
      <c r="L27" s="98"/>
      <c r="M27" s="98"/>
      <c r="N27" s="98"/>
      <c r="O27" s="98"/>
      <c r="P27" s="121" t="s">
        <v>54</v>
      </c>
      <c r="Q27" s="121" t="s">
        <v>54</v>
      </c>
      <c r="R27" s="121" t="s">
        <v>54</v>
      </c>
      <c r="S27" s="98" t="s">
        <v>54</v>
      </c>
      <c r="T27" s="99" t="s">
        <v>54</v>
      </c>
      <c r="U27" s="98"/>
      <c r="V27" s="236"/>
      <c r="W27" s="219"/>
      <c r="X27" s="29"/>
    </row>
    <row x14ac:dyDescent="0.25" r="28" customHeight="1" ht="27.75">
      <c r="A28" s="119"/>
      <c r="B28" s="237"/>
      <c r="C28" s="3"/>
      <c r="D28" s="110"/>
      <c r="E28" s="110"/>
      <c r="F28" s="238"/>
      <c r="G28" s="239"/>
      <c r="H28" s="113" t="s">
        <v>77</v>
      </c>
      <c r="I28" s="113" t="s">
        <v>127</v>
      </c>
      <c r="J28" s="144"/>
      <c r="K28" s="220"/>
      <c r="L28" s="98"/>
      <c r="M28" s="98"/>
      <c r="N28" s="98"/>
      <c r="O28" s="98"/>
      <c r="P28" s="98"/>
      <c r="Q28" s="240"/>
      <c r="R28" s="105" t="s">
        <v>57</v>
      </c>
      <c r="S28" s="121"/>
      <c r="T28" s="121"/>
      <c r="U28" s="121"/>
      <c r="V28" s="121"/>
      <c r="W28" s="241" t="s">
        <v>74</v>
      </c>
      <c r="X28" s="141"/>
    </row>
    <row x14ac:dyDescent="0.25" r="29" customHeight="1" ht="27.75">
      <c r="A29" s="124"/>
      <c r="B29" s="120"/>
      <c r="C29" s="3"/>
      <c r="D29" s="110"/>
      <c r="E29" s="110"/>
      <c r="F29" s="110"/>
      <c r="G29" s="111"/>
      <c r="H29" s="113" t="s">
        <v>98</v>
      </c>
      <c r="I29" s="113" t="s">
        <v>127</v>
      </c>
      <c r="J29" s="144"/>
      <c r="K29" s="220"/>
      <c r="L29" s="98"/>
      <c r="M29" s="98"/>
      <c r="N29" s="98"/>
      <c r="O29" s="98"/>
      <c r="P29" s="98"/>
      <c r="Q29" s="98"/>
      <c r="R29" s="122" t="s">
        <v>54</v>
      </c>
      <c r="S29" s="106"/>
      <c r="T29" s="106"/>
      <c r="U29" s="106"/>
      <c r="V29" s="106"/>
      <c r="W29" s="219"/>
      <c r="X29" s="141"/>
    </row>
    <row x14ac:dyDescent="0.25" r="30" customHeight="1" ht="27.75">
      <c r="A30" s="119"/>
      <c r="B30" s="237"/>
      <c r="C30" s="3"/>
      <c r="D30" s="110"/>
      <c r="E30" s="110"/>
      <c r="F30" s="110"/>
      <c r="G30" s="111"/>
      <c r="H30" s="113" t="s">
        <v>105</v>
      </c>
      <c r="I30" s="113" t="s">
        <v>127</v>
      </c>
      <c r="J30" s="144"/>
      <c r="K30" s="220"/>
      <c r="L30" s="98"/>
      <c r="M30" s="98"/>
      <c r="N30" s="137"/>
      <c r="O30" s="98"/>
      <c r="P30" s="98"/>
      <c r="Q30" s="98"/>
      <c r="R30" s="98" t="s">
        <v>52</v>
      </c>
      <c r="S30" s="118"/>
      <c r="T30" s="118"/>
      <c r="U30" s="118"/>
      <c r="V30" s="118"/>
      <c r="W30" s="219"/>
      <c r="X30" s="141"/>
    </row>
    <row x14ac:dyDescent="0.25" r="31" customHeight="1" ht="27.75">
      <c r="A31" s="119"/>
      <c r="B31" s="120"/>
      <c r="C31" s="3"/>
      <c r="D31" s="110"/>
      <c r="E31" s="110"/>
      <c r="F31" s="110"/>
      <c r="G31" s="111"/>
      <c r="H31" s="113" t="s">
        <v>100</v>
      </c>
      <c r="I31" s="113" t="s">
        <v>127</v>
      </c>
      <c r="J31" s="144"/>
      <c r="K31" s="220"/>
      <c r="L31" s="98"/>
      <c r="M31" s="98"/>
      <c r="N31" s="137"/>
      <c r="O31" s="98"/>
      <c r="P31" s="98"/>
      <c r="Q31" s="98"/>
      <c r="R31" s="98" t="s">
        <v>61</v>
      </c>
      <c r="S31" s="105"/>
      <c r="T31" s="105"/>
      <c r="U31" s="105"/>
      <c r="V31" s="105"/>
      <c r="W31" s="219"/>
      <c r="X31" s="141"/>
    </row>
    <row x14ac:dyDescent="0.25" r="32" customHeight="1" ht="27.75">
      <c r="A32" s="134" t="s">
        <v>111</v>
      </c>
      <c r="B32" s="135"/>
      <c r="C32" s="136"/>
      <c r="D32" s="110"/>
      <c r="E32" s="110"/>
      <c r="F32" s="110"/>
      <c r="G32" s="111"/>
      <c r="H32" s="113" t="s">
        <v>80</v>
      </c>
      <c r="I32" s="113" t="s">
        <v>128</v>
      </c>
      <c r="J32" s="144"/>
      <c r="K32" s="220"/>
      <c r="L32" s="98"/>
      <c r="M32" s="98"/>
      <c r="N32" s="137"/>
      <c r="O32" s="98"/>
      <c r="P32" s="98"/>
      <c r="Q32" s="137"/>
      <c r="R32" s="137" t="s">
        <v>116</v>
      </c>
      <c r="S32" s="242"/>
      <c r="T32" s="242"/>
      <c r="U32" s="242"/>
      <c r="V32" s="242"/>
      <c r="W32" s="219"/>
      <c r="X32" s="141">
        <f>COUNTIF(#REF!,$R$48)+COUNTIF(#REF!,$S$48)+COUNTIF(#REF!,$M$48)+COUNTIF(#REF!,$N$48)+COUNTIF(#REF!,$O$48)+COUNTIF(#REF!,$P$48)+COUNTIF(#REF!,$Q$48)</f>
      </c>
    </row>
    <row x14ac:dyDescent="0.25" r="33" customHeight="1" ht="27.75">
      <c r="A33" s="142"/>
      <c r="B33" s="143"/>
      <c r="C33" s="136"/>
      <c r="D33" s="110"/>
      <c r="E33" s="110"/>
      <c r="F33" s="110"/>
      <c r="G33" s="111"/>
      <c r="H33" s="113" t="s">
        <v>108</v>
      </c>
      <c r="I33" s="113" t="s">
        <v>128</v>
      </c>
      <c r="J33" s="144"/>
      <c r="K33" s="144"/>
      <c r="L33" s="100"/>
      <c r="M33" s="100"/>
      <c r="N33" s="145"/>
      <c r="O33" s="100"/>
      <c r="P33" s="100"/>
      <c r="Q33" s="243"/>
      <c r="R33" s="139" t="s">
        <v>116</v>
      </c>
      <c r="S33" s="244"/>
      <c r="T33" s="244"/>
      <c r="U33" s="242"/>
      <c r="V33" s="242"/>
      <c r="W33" s="219"/>
      <c r="X33" s="141">
        <f>COUNTIF(L33:V33,$R$48)+COUNTIF(L33:V33,$S$48)+COUNTIF(L33:V33,$M$48)+COUNTIF(L33:V33,$N$48)+COUNTIF(L33:V33,$O$48)+COUNTIF(L33:V33,$P$48)+COUNTIF(L33:V33,$Q$48)</f>
      </c>
    </row>
    <row x14ac:dyDescent="0.25" r="34" customHeight="1" ht="27.75">
      <c r="A34" s="134" t="s">
        <v>112</v>
      </c>
      <c r="B34" s="135"/>
      <c r="C34" s="136"/>
      <c r="D34" s="110"/>
      <c r="E34" s="110"/>
      <c r="F34" s="110"/>
      <c r="G34" s="111"/>
      <c r="H34" s="113" t="s">
        <v>129</v>
      </c>
      <c r="I34" s="113" t="s">
        <v>130</v>
      </c>
      <c r="J34" s="220"/>
      <c r="K34" s="245" t="s">
        <v>110</v>
      </c>
      <c r="L34" s="246"/>
      <c r="M34" s="246"/>
      <c r="N34" s="247"/>
      <c r="O34" s="246"/>
      <c r="P34" s="248"/>
      <c r="Q34" s="145"/>
      <c r="R34" s="145"/>
      <c r="S34" s="100"/>
      <c r="T34" s="100"/>
      <c r="U34" s="100"/>
      <c r="V34" s="100"/>
      <c r="W34" s="219"/>
      <c r="X34" s="141">
        <f>COUNTIF(L34:V34,$R$48)+COUNTIF(L34:V34,$S$48)+COUNTIF(L34:V34,$M$48)+COUNTIF(L34:V34,$N$48)+COUNTIF(L34:V34,$O$48)+COUNTIF(L34:V34,$P$48)+COUNTIF(L34:V34,$Q$48)</f>
      </c>
    </row>
    <row x14ac:dyDescent="0.25" r="35" customHeight="1" ht="27.75">
      <c r="A35" s="134" t="s">
        <v>113</v>
      </c>
      <c r="B35" s="135"/>
      <c r="C35" s="136"/>
      <c r="D35" s="110"/>
      <c r="E35" s="110"/>
      <c r="F35" s="110"/>
      <c r="G35" s="111"/>
      <c r="H35" s="113"/>
      <c r="I35" s="144"/>
      <c r="J35" s="144"/>
      <c r="K35" s="144"/>
      <c r="L35" s="100"/>
      <c r="M35" s="100"/>
      <c r="N35" s="145"/>
      <c r="O35" s="100"/>
      <c r="P35" s="100"/>
      <c r="Q35" s="145"/>
      <c r="R35" s="145"/>
      <c r="S35" s="100"/>
      <c r="T35" s="100"/>
      <c r="U35" s="100"/>
      <c r="V35" s="100"/>
      <c r="W35" s="219"/>
      <c r="X35" s="141">
        <f>COUNTIF(L35:V35,$R$48)+COUNTIF(L35:V35,$S$48)+COUNTIF(L35:V35,$M$48)+COUNTIF(L35:V35,$N$48)+COUNTIF(L35:V35,$O$48)+COUNTIF(L35:V35,$P$48)+COUNTIF(L35:V35,$Q$48)</f>
      </c>
    </row>
    <row x14ac:dyDescent="0.25" r="36" customHeight="1" ht="27.75">
      <c r="A36" s="142"/>
      <c r="B36" s="143"/>
      <c r="C36" s="136"/>
      <c r="D36" s="110"/>
      <c r="E36" s="110"/>
      <c r="F36" s="110"/>
      <c r="G36" s="111"/>
      <c r="H36" s="113"/>
      <c r="I36" s="144"/>
      <c r="J36" s="144"/>
      <c r="K36" s="144"/>
      <c r="L36" s="100"/>
      <c r="M36" s="100"/>
      <c r="N36" s="145"/>
      <c r="O36" s="100"/>
      <c r="P36" s="100"/>
      <c r="Q36" s="145"/>
      <c r="R36" s="145"/>
      <c r="S36" s="100"/>
      <c r="T36" s="100"/>
      <c r="U36" s="100"/>
      <c r="V36" s="100"/>
      <c r="W36" s="219"/>
      <c r="X36" s="141">
        <f>COUNTIF(L36:V36,$R$48)+COUNTIF(L36:V36,$S$48)+COUNTIF(L36:V36,$M$48)+COUNTIF(L36:V36,$N$48)+COUNTIF(L36:V36,$O$48)+COUNTIF(L36:V36,$P$48)+COUNTIF(L36:V36,$Q$48)</f>
      </c>
    </row>
    <row x14ac:dyDescent="0.25" r="37" customHeight="1" ht="27.75">
      <c r="A37" s="142"/>
      <c r="B37" s="143"/>
      <c r="C37" s="136"/>
      <c r="D37" s="110"/>
      <c r="E37" s="110"/>
      <c r="F37" s="110"/>
      <c r="G37" s="111"/>
      <c r="H37" s="112"/>
      <c r="I37" s="144"/>
      <c r="J37" s="144"/>
      <c r="K37" s="144"/>
      <c r="L37" s="100"/>
      <c r="M37" s="100"/>
      <c r="N37" s="145"/>
      <c r="O37" s="100"/>
      <c r="P37" s="100"/>
      <c r="Q37" s="145"/>
      <c r="R37" s="145"/>
      <c r="S37" s="100"/>
      <c r="T37" s="100"/>
      <c r="U37" s="100"/>
      <c r="V37" s="100"/>
      <c r="W37" s="103"/>
      <c r="X37" s="141">
        <f>COUNTIF(L37:V37,$R$48)+COUNTIF(L37:V37,$S$48)+COUNTIF(L37:V37,$M$48)+COUNTIF(L37:V37,$N$48)+COUNTIF(L37:V37,$O$48)+COUNTIF(L37:V37,$P$48)+COUNTIF(L37:V37,$Q$48)</f>
      </c>
    </row>
    <row x14ac:dyDescent="0.25" r="38" customHeight="1" ht="27.75">
      <c r="A38" s="134" t="s">
        <v>114</v>
      </c>
      <c r="B38" s="135"/>
      <c r="C38" s="136"/>
      <c r="D38" s="110"/>
      <c r="E38" s="110"/>
      <c r="F38" s="110"/>
      <c r="G38" s="111"/>
      <c r="H38" s="112"/>
      <c r="I38" s="144"/>
      <c r="J38" s="144"/>
      <c r="K38" s="144"/>
      <c r="L38" s="100"/>
      <c r="M38" s="100"/>
      <c r="N38" s="145"/>
      <c r="O38" s="100"/>
      <c r="P38" s="100"/>
      <c r="Q38" s="145"/>
      <c r="R38" s="145"/>
      <c r="S38" s="100"/>
      <c r="T38" s="100"/>
      <c r="U38" s="100"/>
      <c r="V38" s="100"/>
      <c r="W38" s="103"/>
      <c r="X38" s="141">
        <f>COUNTIF(L38:V38,$R$48)+COUNTIF(L38:V38,$S$48)+COUNTIF(L38:V38,$M$48)+COUNTIF(L38:V38,$N$48)+COUNTIF(L38:V38,$O$48)+COUNTIF(L38:V38,$P$48)+COUNTIF(L38:V38,$Q$48)</f>
      </c>
    </row>
    <row x14ac:dyDescent="0.25" r="39" customHeight="1" ht="27.75">
      <c r="A39" s="142"/>
      <c r="B39" s="143"/>
      <c r="C39" s="136"/>
      <c r="D39" s="110"/>
      <c r="E39" s="110"/>
      <c r="F39" s="110"/>
      <c r="G39" s="111"/>
      <c r="H39" s="112"/>
      <c r="I39" s="144"/>
      <c r="J39" s="144"/>
      <c r="K39" s="144"/>
      <c r="L39" s="100"/>
      <c r="M39" s="100"/>
      <c r="N39" s="145"/>
      <c r="O39" s="100"/>
      <c r="P39" s="100"/>
      <c r="Q39" s="145"/>
      <c r="R39" s="145"/>
      <c r="S39" s="100"/>
      <c r="T39" s="100"/>
      <c r="U39" s="100"/>
      <c r="V39" s="100"/>
      <c r="W39" s="103"/>
      <c r="X39" s="141">
        <f>COUNTIF(L39:V39,$R$48)+COUNTIF(L39:V39,$S$48)+COUNTIF(L39:V39,$M$48)+COUNTIF(L39:V39,$N$48)+COUNTIF(L39:V39,$O$48)+COUNTIF(L39:V39,$P$48)+COUNTIF(L39:V39,$Q$48)</f>
      </c>
    </row>
    <row x14ac:dyDescent="0.25" r="40" customHeight="1" ht="27.75">
      <c r="A40" s="142" t="s">
        <v>131</v>
      </c>
      <c r="B40" s="143"/>
      <c r="C40" s="136"/>
      <c r="D40" s="110"/>
      <c r="E40" s="110"/>
      <c r="F40" s="110"/>
      <c r="G40" s="111"/>
      <c r="H40" s="112"/>
      <c r="I40" s="144"/>
      <c r="J40" s="144"/>
      <c r="K40" s="144"/>
      <c r="L40" s="100"/>
      <c r="M40" s="100"/>
      <c r="N40" s="145"/>
      <c r="O40" s="100"/>
      <c r="P40" s="100"/>
      <c r="Q40" s="145"/>
      <c r="R40" s="145"/>
      <c r="S40" s="100"/>
      <c r="T40" s="100"/>
      <c r="U40" s="100"/>
      <c r="V40" s="100"/>
      <c r="W40" s="103"/>
      <c r="X40" s="141">
        <f>COUNTIF(#REF!,$R$48)+COUNTIF(#REF!,$S$48)+COUNTIF(#REF!,$M$48)+COUNTIF(#REF!,$N$48)+COUNTIF(#REF!,$O$48)+COUNTIF(#REF!,$P$48)+COUNTIF(#REF!,$Q$48)</f>
      </c>
    </row>
    <row x14ac:dyDescent="0.25" r="41" customHeight="1" ht="27.75">
      <c r="A41" s="134" t="s">
        <v>79</v>
      </c>
      <c r="B41" s="135"/>
      <c r="C41" s="136"/>
      <c r="D41" s="110"/>
      <c r="E41" s="110"/>
      <c r="F41" s="110"/>
      <c r="G41" s="111"/>
      <c r="H41" s="112"/>
      <c r="I41" s="144"/>
      <c r="J41" s="144"/>
      <c r="K41" s="144"/>
      <c r="L41" s="100"/>
      <c r="M41" s="100"/>
      <c r="N41" s="145"/>
      <c r="O41" s="100"/>
      <c r="P41" s="100"/>
      <c r="Q41" s="145"/>
      <c r="R41" s="145"/>
      <c r="S41" s="100"/>
      <c r="T41" s="100"/>
      <c r="U41" s="100"/>
      <c r="V41" s="100"/>
      <c r="W41" s="103"/>
      <c r="X41" s="141"/>
    </row>
    <row x14ac:dyDescent="0.25" r="42" customHeight="1" ht="27.75">
      <c r="A42" s="142" t="s">
        <v>132</v>
      </c>
      <c r="B42" s="143"/>
      <c r="C42" s="136"/>
      <c r="D42" s="110"/>
      <c r="E42" s="110"/>
      <c r="F42" s="110"/>
      <c r="G42" s="111"/>
      <c r="H42" s="112"/>
      <c r="I42" s="144"/>
      <c r="J42" s="144"/>
      <c r="K42" s="144"/>
      <c r="L42" s="100"/>
      <c r="M42" s="100"/>
      <c r="N42" s="145"/>
      <c r="O42" s="100"/>
      <c r="P42" s="100"/>
      <c r="Q42" s="145"/>
      <c r="R42" s="145"/>
      <c r="S42" s="100"/>
      <c r="T42" s="100"/>
      <c r="U42" s="100"/>
      <c r="V42" s="100"/>
      <c r="W42" s="103"/>
      <c r="X42" s="148"/>
    </row>
    <row x14ac:dyDescent="0.25" r="43" customHeight="1" ht="27.75">
      <c r="A43" s="142" t="s">
        <v>133</v>
      </c>
      <c r="B43" s="143"/>
      <c r="C43" s="136"/>
      <c r="D43" s="110"/>
      <c r="E43" s="110"/>
      <c r="F43" s="110"/>
      <c r="G43" s="111"/>
      <c r="H43" s="149"/>
      <c r="I43" s="153"/>
      <c r="J43" s="249"/>
      <c r="K43" s="249"/>
      <c r="L43" s="100"/>
      <c r="M43" s="100"/>
      <c r="N43" s="145"/>
      <c r="O43" s="100"/>
      <c r="P43" s="100"/>
      <c r="Q43" s="145"/>
      <c r="R43" s="145"/>
      <c r="S43" s="100"/>
      <c r="T43" s="100"/>
      <c r="U43" s="100"/>
      <c r="V43" s="100"/>
      <c r="W43" s="162"/>
      <c r="X43" s="151"/>
    </row>
    <row x14ac:dyDescent="0.25" r="44" customHeight="1" ht="27.75">
      <c r="A44" s="134" t="s">
        <v>82</v>
      </c>
      <c r="B44" s="135"/>
      <c r="C44" s="136"/>
      <c r="D44" s="110"/>
      <c r="E44" s="110"/>
      <c r="F44" s="110"/>
      <c r="G44" s="111"/>
      <c r="H44" s="152"/>
      <c r="I44" s="154"/>
      <c r="J44" s="154"/>
      <c r="K44" s="154"/>
      <c r="L44" s="158"/>
      <c r="M44" s="158"/>
      <c r="N44" s="159"/>
      <c r="O44" s="158"/>
      <c r="P44" s="158"/>
      <c r="Q44" s="159"/>
      <c r="R44" s="159"/>
      <c r="S44" s="158"/>
      <c r="T44" s="158"/>
      <c r="U44" s="158"/>
      <c r="V44" s="158"/>
      <c r="W44" s="169"/>
      <c r="X44" s="151"/>
    </row>
    <row x14ac:dyDescent="0.25" r="45" customHeight="1" ht="27.75">
      <c r="A45" s="142" t="s">
        <v>134</v>
      </c>
      <c r="B45" s="143"/>
      <c r="C45" s="136"/>
      <c r="D45" s="110"/>
      <c r="E45" s="110"/>
      <c r="F45" s="110"/>
      <c r="G45" s="111"/>
      <c r="H45" s="152"/>
      <c r="I45" s="154"/>
      <c r="J45" s="154"/>
      <c r="K45" s="154"/>
      <c r="L45" s="166"/>
      <c r="M45" s="166"/>
      <c r="N45" s="167"/>
      <c r="O45" s="166"/>
      <c r="P45" s="166"/>
      <c r="Q45" s="167"/>
      <c r="R45" s="167"/>
      <c r="S45" s="166"/>
      <c r="T45" s="166"/>
      <c r="U45" s="166"/>
      <c r="V45" s="166"/>
      <c r="W45" s="169"/>
      <c r="X45" s="151"/>
    </row>
    <row x14ac:dyDescent="0.25" r="46" customHeight="1" ht="27.75">
      <c r="A46" s="156"/>
      <c r="B46" s="157"/>
      <c r="C46" s="136"/>
      <c r="D46" s="110"/>
      <c r="E46" s="110"/>
      <c r="F46" s="110"/>
      <c r="G46" s="111"/>
      <c r="H46" s="152"/>
      <c r="I46" s="154"/>
      <c r="J46" s="154"/>
      <c r="K46" s="154"/>
      <c r="L46" s="166"/>
      <c r="M46" s="166"/>
      <c r="N46" s="167"/>
      <c r="O46" s="166"/>
      <c r="P46" s="166"/>
      <c r="Q46" s="167"/>
      <c r="R46" s="167"/>
      <c r="S46" s="166"/>
      <c r="T46" s="166"/>
      <c r="U46" s="166"/>
      <c r="V46" s="166"/>
      <c r="W46" s="169"/>
      <c r="X46" s="151"/>
    </row>
    <row x14ac:dyDescent="0.25" r="47" customHeight="1" ht="26.25">
      <c r="A47" s="163"/>
      <c r="B47" s="164"/>
      <c r="C47" s="136"/>
      <c r="D47" s="165"/>
      <c r="E47" s="165"/>
      <c r="F47" s="165"/>
      <c r="G47" s="165"/>
      <c r="H47" s="4"/>
      <c r="I47" s="152" t="s">
        <v>83</v>
      </c>
      <c r="J47" s="154"/>
      <c r="K47" s="154"/>
      <c r="L47" s="166"/>
      <c r="M47" s="166"/>
      <c r="N47" s="167"/>
      <c r="O47" s="166"/>
      <c r="P47" s="166"/>
      <c r="Q47" s="167"/>
      <c r="R47" s="167"/>
      <c r="S47" s="166"/>
      <c r="T47" s="166"/>
      <c r="U47" s="166"/>
      <c r="V47" s="166"/>
      <c r="W47" s="2"/>
      <c r="X47" s="151"/>
    </row>
    <row x14ac:dyDescent="0.25" r="48" customHeight="1" ht="26.25">
      <c r="A48" s="163"/>
      <c r="B48" s="164"/>
      <c r="C48" s="136"/>
      <c r="D48" s="165"/>
      <c r="E48" s="165"/>
      <c r="F48" s="165"/>
      <c r="G48" s="165"/>
      <c r="H48" s="4"/>
      <c r="I48" s="74"/>
      <c r="J48" s="74"/>
      <c r="K48" s="74"/>
      <c r="L48" s="170" t="s">
        <v>50</v>
      </c>
      <c r="M48" s="171" t="s">
        <v>61</v>
      </c>
      <c r="N48" s="171" t="s">
        <v>54</v>
      </c>
      <c r="O48" s="171" t="s">
        <v>51</v>
      </c>
      <c r="P48" s="171" t="s">
        <v>84</v>
      </c>
      <c r="Q48" s="172" t="s">
        <v>52</v>
      </c>
      <c r="R48" s="172" t="s">
        <v>57</v>
      </c>
      <c r="S48" s="172" t="s">
        <v>69</v>
      </c>
      <c r="T48" s="209" t="s">
        <v>49</v>
      </c>
      <c r="U48" s="209" t="s">
        <v>110</v>
      </c>
      <c r="V48" s="209" t="s">
        <v>116</v>
      </c>
      <c r="W48" s="2"/>
      <c r="X48" s="151"/>
    </row>
    <row x14ac:dyDescent="0.25" r="49" customHeight="1" ht="26.25">
      <c r="A49" s="163"/>
      <c r="B49" s="164"/>
      <c r="C49" s="136"/>
      <c r="D49" s="165"/>
      <c r="E49" s="165"/>
      <c r="F49" s="165"/>
      <c r="G49" s="165"/>
      <c r="H49" s="4"/>
      <c r="I49" s="74"/>
      <c r="J49" s="74"/>
      <c r="K49" s="74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2"/>
      <c r="X49" s="151"/>
    </row>
    <row x14ac:dyDescent="0.25" r="50" customHeight="1" ht="18.75" hidden="1">
      <c r="A50" s="4"/>
      <c r="B50" s="2"/>
      <c r="C50" s="136"/>
      <c r="D50" s="4"/>
      <c r="E50" s="4"/>
      <c r="F50" s="4"/>
      <c r="G50" s="4"/>
      <c r="H50" s="4"/>
      <c r="I50" s="74"/>
      <c r="J50" s="74"/>
      <c r="K50" s="74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2"/>
      <c r="X50" s="175">
        <f>COUNTIF(#REF!,$R$48)+COUNTIF(#REF!,$S$48)+COUNTIF(#REF!,$M$48)+COUNTIF(#REF!,$N$48)+COUNTIF(#REF!,$O$48)+COUNTIF(#REF!,$P$48)+COUNTIF(#REF!,$Q$48)</f>
      </c>
    </row>
  </sheetData>
  <mergeCells count="41">
    <mergeCell ref="H1:W1"/>
    <mergeCell ref="A2:B2"/>
    <mergeCell ref="H2:W2"/>
    <mergeCell ref="H3:I3"/>
    <mergeCell ref="H4:I4"/>
    <mergeCell ref="H5:I5"/>
    <mergeCell ref="D6:D18"/>
    <mergeCell ref="H6:I6"/>
    <mergeCell ref="H7:I7"/>
    <mergeCell ref="E8:E18"/>
    <mergeCell ref="F8:F18"/>
    <mergeCell ref="G8:G18"/>
    <mergeCell ref="H8:I8"/>
    <mergeCell ref="H9:I9"/>
    <mergeCell ref="H10:I10"/>
    <mergeCell ref="H11:I11"/>
    <mergeCell ref="H12:I12"/>
    <mergeCell ref="H13:I13"/>
    <mergeCell ref="A14:B14"/>
    <mergeCell ref="H14:I14"/>
    <mergeCell ref="H16:W16"/>
    <mergeCell ref="A21:B21"/>
    <mergeCell ref="A22:B22"/>
    <mergeCell ref="A24:B24"/>
    <mergeCell ref="A28:B28"/>
    <mergeCell ref="A30:B30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62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5.147857142857143" customWidth="1" bestFit="1"/>
    <col min="9" max="9" style="176" width="29.005" customWidth="1" bestFit="1"/>
    <col min="10" max="10" style="210" width="21.005" customWidth="1" bestFit="1"/>
    <col min="11" max="11" style="211" width="15.576428571428572" customWidth="1" bestFit="1"/>
    <col min="12" max="12" style="180" width="15.576428571428572" customWidth="1" bestFit="1"/>
    <col min="13" max="13" style="180" width="15.576428571428572" customWidth="1" bestFit="1"/>
    <col min="14" max="14" style="180" width="15.576428571428572" customWidth="1" bestFit="1"/>
    <col min="15" max="15" style="180" width="15.576428571428572" customWidth="1" bestFit="1"/>
    <col min="16" max="16" style="180" width="15.576428571428572" customWidth="1" bestFit="1"/>
    <col min="17" max="17" style="180" width="15.576428571428572" customWidth="1" bestFit="1"/>
    <col min="18" max="18" style="180" width="15.576428571428572" customWidth="1" bestFit="1"/>
    <col min="19" max="19" style="180" width="15.576428571428572" customWidth="1" bestFit="1"/>
    <col min="20" max="20" style="180" width="15.576428571428572" customWidth="1" bestFit="1"/>
    <col min="21" max="21" style="180" width="15.576428571428572" customWidth="1" bestFit="1"/>
    <col min="22" max="22" style="180" width="15.576428571428572" customWidth="1" bestFit="1"/>
    <col min="23" max="23" style="177" width="34.86214285714286" customWidth="1" bestFit="1"/>
    <col min="24" max="24" style="178" width="13.576428571428572" customWidth="1" bestFit="1" hidden="1"/>
  </cols>
  <sheetData>
    <row x14ac:dyDescent="0.25" r="1" customHeight="1" ht="90.75">
      <c r="A1" s="4"/>
      <c r="B1" s="2"/>
      <c r="C1" s="3"/>
      <c r="D1" s="4"/>
      <c r="E1" s="184"/>
      <c r="F1" s="4"/>
      <c r="G1" s="4"/>
      <c r="H1" s="4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9"/>
      <c r="X1" s="10"/>
    </row>
    <row x14ac:dyDescent="0.25" r="2" customHeight="1" ht="32.25">
      <c r="A2" s="11" t="s">
        <v>0</v>
      </c>
      <c r="B2" s="12"/>
      <c r="C2" s="3"/>
      <c r="D2" s="4"/>
      <c r="E2" s="4"/>
      <c r="F2" s="4"/>
      <c r="G2" s="4"/>
      <c r="H2" s="4"/>
      <c r="I2" s="13" t="s">
        <v>2</v>
      </c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85"/>
      <c r="X2" s="3"/>
    </row>
    <row x14ac:dyDescent="0.25" r="3" customHeight="1" ht="27.75">
      <c r="A3" s="20" t="s">
        <v>3</v>
      </c>
      <c r="B3" s="186" t="s">
        <v>85</v>
      </c>
      <c r="C3" s="3"/>
      <c r="D3" s="4"/>
      <c r="E3" s="4"/>
      <c r="F3" s="4"/>
      <c r="G3" s="4"/>
      <c r="H3" s="4"/>
      <c r="I3" s="23" t="s">
        <v>6</v>
      </c>
      <c r="J3" s="24"/>
      <c r="K3" s="25" t="s">
        <v>86</v>
      </c>
      <c r="L3" s="25" t="s">
        <v>87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  <c r="S3" s="25" t="s">
        <v>13</v>
      </c>
      <c r="T3" s="25" t="s">
        <v>14</v>
      </c>
      <c r="U3" s="25" t="s">
        <v>88</v>
      </c>
      <c r="V3" s="25" t="s">
        <v>89</v>
      </c>
      <c r="W3" s="27">
        <f>SUM(L4:V4)</f>
      </c>
      <c r="X3" s="3"/>
    </row>
    <row x14ac:dyDescent="0.25" r="4" customHeight="1" ht="27.75">
      <c r="A4" s="30" t="s">
        <v>15</v>
      </c>
      <c r="B4" s="31">
        <v>23898</v>
      </c>
      <c r="C4" s="32"/>
      <c r="D4" s="34"/>
      <c r="E4" s="34"/>
      <c r="F4" s="34"/>
      <c r="G4" s="34"/>
      <c r="H4" s="34"/>
      <c r="I4" s="35" t="s">
        <v>16</v>
      </c>
      <c r="J4" s="36"/>
      <c r="K4" s="37">
        <v>0</v>
      </c>
      <c r="L4" s="37">
        <v>0.03</v>
      </c>
      <c r="M4" s="37">
        <v>0.06</v>
      </c>
      <c r="N4" s="37">
        <v>0.11</v>
      </c>
      <c r="O4" s="37">
        <v>0.13</v>
      </c>
      <c r="P4" s="37">
        <v>0.14</v>
      </c>
      <c r="Q4" s="37">
        <v>0.14</v>
      </c>
      <c r="R4" s="37">
        <v>0.14</v>
      </c>
      <c r="S4" s="37">
        <v>0.11</v>
      </c>
      <c r="T4" s="37">
        <v>0.07</v>
      </c>
      <c r="U4" s="37">
        <v>0.05</v>
      </c>
      <c r="V4" s="37">
        <v>0.02</v>
      </c>
      <c r="W4" s="38" t="s">
        <v>17</v>
      </c>
      <c r="X4" s="28"/>
    </row>
    <row x14ac:dyDescent="0.25" r="5" customHeight="1" ht="27.75">
      <c r="A5" s="30" t="s">
        <v>18</v>
      </c>
      <c r="B5" s="31">
        <v>24000</v>
      </c>
      <c r="C5" s="3"/>
      <c r="D5" s="34"/>
      <c r="E5" s="34"/>
      <c r="F5" s="34"/>
      <c r="G5" s="34"/>
      <c r="H5" s="34"/>
      <c r="I5" s="39" t="s">
        <v>20</v>
      </c>
      <c r="J5" s="40"/>
      <c r="K5" s="41">
        <f>K4*B4</f>
      </c>
      <c r="L5" s="41">
        <f>SUM(K$4:L$4)*$B$4</f>
      </c>
      <c r="M5" s="41">
        <f>SUM(K4:M4)*$B$4</f>
      </c>
      <c r="N5" s="41">
        <f>SUM(K4:N4)*$B$4</f>
      </c>
      <c r="O5" s="41">
        <f>SUM(K4:O4)*$B$4</f>
      </c>
      <c r="P5" s="41">
        <f>SUM(K4:P4)*$B$4</f>
      </c>
      <c r="Q5" s="41">
        <f>SUM(K4:Q4)*$B$4</f>
      </c>
      <c r="R5" s="41">
        <f>SUM(K4:R4)*$B$4</f>
      </c>
      <c r="S5" s="41">
        <f>SUM(K4:S4)*$B$4</f>
      </c>
      <c r="T5" s="41">
        <f>SUM(K4:T4)*$B$4</f>
      </c>
      <c r="U5" s="41">
        <f>SUM(K4:U4)*$B$4</f>
      </c>
      <c r="V5" s="41">
        <f>SUM(K4:V4)*$B$4</f>
      </c>
      <c r="W5" s="42"/>
      <c r="X5" s="28"/>
    </row>
    <row x14ac:dyDescent="0.25" r="6" customHeight="1" ht="27.75">
      <c r="A6" s="30" t="s">
        <v>21</v>
      </c>
      <c r="B6" s="31">
        <v>21000</v>
      </c>
      <c r="C6" s="43">
        <f>B5/B4</f>
      </c>
      <c r="D6" s="22" t="s">
        <v>5</v>
      </c>
      <c r="E6" s="44"/>
      <c r="F6" s="44"/>
      <c r="G6" s="44"/>
      <c r="H6" s="44"/>
      <c r="I6" s="39" t="s">
        <v>22</v>
      </c>
      <c r="J6" s="40"/>
      <c r="K6" s="41">
        <f>K4*B5</f>
      </c>
      <c r="L6" s="41">
        <f>SUM(K4:L4)*$B$5</f>
      </c>
      <c r="M6" s="41">
        <f>SUM(K4:M4)*$B$5</f>
      </c>
      <c r="N6" s="41">
        <f>SUM(K4:N4)*$B$5</f>
      </c>
      <c r="O6" s="41">
        <f>SUM(K4:O4)*$B$5</f>
      </c>
      <c r="P6" s="41">
        <f>SUM(K4:P4)*$B$5</f>
      </c>
      <c r="Q6" s="41">
        <f>SUM(K4:Q4)*$B$5</f>
      </c>
      <c r="R6" s="41">
        <f>SUM(K4:R4)*$B$5</f>
      </c>
      <c r="S6" s="41">
        <f>SUM(K4:S4)*$B$5</f>
      </c>
      <c r="T6" s="41">
        <f>SUM(K4:T4)*$B$5</f>
      </c>
      <c r="U6" s="41">
        <f>SUM(K4:U4)*$B$5</f>
      </c>
      <c r="V6" s="41">
        <f>SUM(K4:V4)*$B$5</f>
      </c>
      <c r="W6" s="42"/>
      <c r="X6" s="28"/>
    </row>
    <row x14ac:dyDescent="0.25" r="7" customHeight="1" ht="27.75">
      <c r="A7" s="30" t="s">
        <v>23</v>
      </c>
      <c r="B7" s="45">
        <v>1500</v>
      </c>
      <c r="C7" s="3"/>
      <c r="D7" s="33"/>
      <c r="E7" s="34"/>
      <c r="F7" s="34"/>
      <c r="G7" s="34"/>
      <c r="H7" s="34"/>
      <c r="I7" s="46" t="s">
        <v>26</v>
      </c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187"/>
      <c r="W7" s="42"/>
      <c r="X7" s="28"/>
    </row>
    <row x14ac:dyDescent="0.25" r="8" customHeight="1" ht="27.75">
      <c r="A8" s="30" t="s">
        <v>27</v>
      </c>
      <c r="B8" s="49">
        <v>0.05</v>
      </c>
      <c r="C8" s="3"/>
      <c r="D8" s="33"/>
      <c r="E8" s="22" t="s">
        <v>19</v>
      </c>
      <c r="F8" s="22" t="s">
        <v>24</v>
      </c>
      <c r="G8" s="22" t="s">
        <v>90</v>
      </c>
      <c r="H8" s="22" t="s">
        <v>91</v>
      </c>
      <c r="I8" s="50" t="s">
        <v>28</v>
      </c>
      <c r="J8" s="51"/>
      <c r="K8" s="52"/>
      <c r="L8" s="55"/>
      <c r="M8" s="52"/>
      <c r="N8" s="52"/>
      <c r="O8" s="52"/>
      <c r="P8" s="52"/>
      <c r="Q8" s="52"/>
      <c r="R8" s="52"/>
      <c r="S8" s="52"/>
      <c r="T8" s="52"/>
      <c r="U8" s="52"/>
      <c r="V8" s="188"/>
      <c r="W8" s="42"/>
      <c r="X8" s="28"/>
    </row>
    <row x14ac:dyDescent="0.25" r="9" customHeight="1" ht="27.75">
      <c r="A9" s="30" t="s">
        <v>29</v>
      </c>
      <c r="B9" s="53">
        <v>2000</v>
      </c>
      <c r="C9" s="3"/>
      <c r="D9" s="33"/>
      <c r="E9" s="33"/>
      <c r="F9" s="33"/>
      <c r="G9" s="33"/>
      <c r="H9" s="33"/>
      <c r="I9" s="46" t="s">
        <v>30</v>
      </c>
      <c r="J9" s="54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189"/>
      <c r="W9" s="42"/>
      <c r="X9" s="28"/>
    </row>
    <row x14ac:dyDescent="0.25" r="10" customHeight="1" ht="27.75">
      <c r="A10" s="30" t="s">
        <v>31</v>
      </c>
      <c r="B10" s="53"/>
      <c r="C10" s="3"/>
      <c r="D10" s="33"/>
      <c r="E10" s="33"/>
      <c r="F10" s="33"/>
      <c r="G10" s="33"/>
      <c r="H10" s="33"/>
      <c r="I10" s="46" t="s">
        <v>32</v>
      </c>
      <c r="J10" s="47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190"/>
      <c r="W10" s="42"/>
      <c r="X10" s="28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33"/>
      <c r="I11" s="46" t="s">
        <v>34</v>
      </c>
      <c r="J11" s="4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91"/>
      <c r="W11" s="58"/>
      <c r="X11" s="59"/>
    </row>
    <row x14ac:dyDescent="0.25" r="12" customHeight="1" ht="27.75">
      <c r="A12" s="30" t="s">
        <v>34</v>
      </c>
      <c r="B12" s="60">
        <v>2.3</v>
      </c>
      <c r="C12" s="29"/>
      <c r="D12" s="33"/>
      <c r="E12" s="33"/>
      <c r="F12" s="33"/>
      <c r="G12" s="33"/>
      <c r="H12" s="33"/>
      <c r="I12" s="46" t="s">
        <v>35</v>
      </c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187"/>
      <c r="W12" s="58"/>
      <c r="X12" s="59"/>
    </row>
    <row x14ac:dyDescent="0.25" r="13" customHeight="1" ht="27.75">
      <c r="A13" s="61" t="s">
        <v>35</v>
      </c>
      <c r="B13" s="62">
        <v>81</v>
      </c>
      <c r="C13" s="3"/>
      <c r="D13" s="33"/>
      <c r="E13" s="33"/>
      <c r="F13" s="33"/>
      <c r="G13" s="33"/>
      <c r="H13" s="33"/>
      <c r="I13" s="46" t="s">
        <v>36</v>
      </c>
      <c r="J13" s="63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187"/>
      <c r="W13" s="58"/>
      <c r="X13" s="65"/>
    </row>
    <row x14ac:dyDescent="0.25" r="14" customHeight="1" ht="27.75">
      <c r="A14" s="66" t="s">
        <v>37</v>
      </c>
      <c r="B14" s="67"/>
      <c r="C14" s="3"/>
      <c r="D14" s="33"/>
      <c r="E14" s="33"/>
      <c r="F14" s="33"/>
      <c r="G14" s="33"/>
      <c r="H14" s="33"/>
      <c r="I14" s="68" t="s">
        <v>38</v>
      </c>
      <c r="J14" s="69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72"/>
    </row>
    <row x14ac:dyDescent="0.25" r="15" customHeight="1" ht="27.75">
      <c r="A15" s="20" t="s">
        <v>39</v>
      </c>
      <c r="B15" s="73">
        <v>453745</v>
      </c>
      <c r="C15" s="3"/>
      <c r="D15" s="33"/>
      <c r="E15" s="33"/>
      <c r="F15" s="33"/>
      <c r="G15" s="33"/>
      <c r="H15" s="33"/>
      <c r="I15" s="4"/>
      <c r="J15" s="192"/>
      <c r="K15" s="193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2"/>
      <c r="X15" s="72"/>
    </row>
    <row x14ac:dyDescent="0.25" r="16" customHeight="1" ht="27.75">
      <c r="A16" s="30" t="s">
        <v>40</v>
      </c>
      <c r="B16" s="194"/>
      <c r="C16" s="3"/>
      <c r="D16" s="33"/>
      <c r="E16" s="33"/>
      <c r="F16" s="33"/>
      <c r="G16" s="33"/>
      <c r="H16" s="33"/>
      <c r="I16" s="79" t="s">
        <v>41</v>
      </c>
      <c r="J16" s="80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195"/>
      <c r="X16" s="65"/>
    </row>
    <row x14ac:dyDescent="0.25" r="17" customHeight="1" ht="27.75">
      <c r="A17" s="30" t="s">
        <v>42</v>
      </c>
      <c r="B17" s="78"/>
      <c r="C17" s="3"/>
      <c r="D17" s="33"/>
      <c r="E17" s="33"/>
      <c r="F17" s="33"/>
      <c r="G17" s="33"/>
      <c r="H17" s="33"/>
      <c r="I17" s="196" t="s">
        <v>43</v>
      </c>
      <c r="J17" s="87" t="s">
        <v>44</v>
      </c>
      <c r="K17" s="88">
        <f>K$3</f>
      </c>
      <c r="L17" s="197">
        <f>L$3</f>
      </c>
      <c r="M17" s="197">
        <f>M$3</f>
      </c>
      <c r="N17" s="197">
        <f>N$3</f>
      </c>
      <c r="O17" s="197">
        <f>O$3</f>
      </c>
      <c r="P17" s="197">
        <f>P$3</f>
      </c>
      <c r="Q17" s="197">
        <f>Q$3</f>
      </c>
      <c r="R17" s="197">
        <f>R$3</f>
      </c>
      <c r="S17" s="197">
        <f>S$3</f>
      </c>
      <c r="T17" s="197">
        <f>T$3</f>
      </c>
      <c r="U17" s="197">
        <f>U$3</f>
      </c>
      <c r="V17" s="197">
        <f>V$3</f>
      </c>
      <c r="W17" s="198" t="s">
        <v>46</v>
      </c>
      <c r="X17" s="72"/>
    </row>
    <row x14ac:dyDescent="0.25" r="18" customHeight="1" ht="27.75">
      <c r="A18" s="30"/>
      <c r="B18" s="92"/>
      <c r="C18" s="3"/>
      <c r="D18" s="33"/>
      <c r="E18" s="33"/>
      <c r="F18" s="33"/>
      <c r="G18" s="33"/>
      <c r="H18" s="33"/>
      <c r="I18" s="112" t="s">
        <v>92</v>
      </c>
      <c r="J18" s="113" t="s">
        <v>93</v>
      </c>
      <c r="K18" s="98" t="s">
        <v>49</v>
      </c>
      <c r="L18" s="100" t="s">
        <v>50</v>
      </c>
      <c r="M18" s="99" t="s">
        <v>50</v>
      </c>
      <c r="N18" s="99" t="s">
        <v>50</v>
      </c>
      <c r="O18" s="100" t="s">
        <v>54</v>
      </c>
      <c r="P18" s="122" t="s">
        <v>54</v>
      </c>
      <c r="Q18" s="122" t="s">
        <v>50</v>
      </c>
      <c r="R18" s="99" t="s">
        <v>50</v>
      </c>
      <c r="S18" s="98"/>
      <c r="T18" s="98"/>
      <c r="U18" s="98"/>
      <c r="V18" s="98"/>
      <c r="W18" s="103"/>
      <c r="X18" s="65"/>
    </row>
    <row x14ac:dyDescent="0.25" r="19" customHeight="1" ht="27.75">
      <c r="A19" s="30"/>
      <c r="B19" s="92"/>
      <c r="C19" s="3"/>
      <c r="D19" s="33"/>
      <c r="E19" s="33"/>
      <c r="F19" s="33"/>
      <c r="G19" s="33"/>
      <c r="H19" s="33"/>
      <c r="I19" s="112" t="s">
        <v>94</v>
      </c>
      <c r="J19" s="113" t="s">
        <v>95</v>
      </c>
      <c r="K19" s="98"/>
      <c r="L19" s="100" t="s">
        <v>61</v>
      </c>
      <c r="M19" s="99" t="s">
        <v>51</v>
      </c>
      <c r="N19" s="99" t="s">
        <v>51</v>
      </c>
      <c r="O19" s="138"/>
      <c r="P19" s="138"/>
      <c r="Q19" s="138"/>
      <c r="R19" s="98"/>
      <c r="S19" s="98"/>
      <c r="T19" s="98"/>
      <c r="U19" s="98"/>
      <c r="V19" s="98"/>
      <c r="W19" s="103"/>
      <c r="X19" s="65"/>
    </row>
    <row x14ac:dyDescent="0.25" r="20" customHeight="1" ht="27.75">
      <c r="A20" s="30"/>
      <c r="B20" s="92"/>
      <c r="C20" s="3"/>
      <c r="D20" s="33"/>
      <c r="E20" s="33"/>
      <c r="F20" s="33"/>
      <c r="G20" s="33"/>
      <c r="H20" s="33"/>
      <c r="I20" s="112" t="s">
        <v>62</v>
      </c>
      <c r="J20" s="113" t="s">
        <v>96</v>
      </c>
      <c r="K20" s="98"/>
      <c r="L20" s="138" t="s">
        <v>57</v>
      </c>
      <c r="M20" s="105" t="s">
        <v>57</v>
      </c>
      <c r="N20" s="106" t="s">
        <v>57</v>
      </c>
      <c r="O20" s="106" t="s">
        <v>57</v>
      </c>
      <c r="P20" s="98" t="s">
        <v>61</v>
      </c>
      <c r="Q20" s="98"/>
      <c r="R20" s="98"/>
      <c r="S20" s="98"/>
      <c r="T20" s="98"/>
      <c r="U20" s="98"/>
      <c r="V20" s="98"/>
      <c r="W20" s="103"/>
      <c r="X20" s="65"/>
    </row>
    <row x14ac:dyDescent="0.25" r="21" customHeight="1" ht="18.75" hidden="1">
      <c r="A21" s="108"/>
      <c r="B21" s="109">
        <f>B15+#REF!</f>
      </c>
      <c r="C21" s="3"/>
      <c r="D21" s="110"/>
      <c r="E21" s="110"/>
      <c r="F21" s="110"/>
      <c r="G21" s="111"/>
      <c r="H21" s="111"/>
      <c r="I21" s="112"/>
      <c r="J21" s="113" t="s">
        <v>59</v>
      </c>
      <c r="K21" s="98"/>
      <c r="L21" s="98"/>
      <c r="M21" s="98"/>
      <c r="N21" s="137"/>
      <c r="O21" s="98"/>
      <c r="P21" s="98"/>
      <c r="Q21" s="137"/>
      <c r="R21" s="137"/>
      <c r="S21" s="98"/>
      <c r="T21" s="98"/>
      <c r="U21" s="98"/>
      <c r="V21" s="98"/>
      <c r="W21" s="103"/>
      <c r="X21" s="65"/>
    </row>
    <row x14ac:dyDescent="0.25" r="22" customHeight="1" ht="18.75" hidden="1">
      <c r="A22" s="114"/>
      <c r="B22" s="115">
        <v>1</v>
      </c>
      <c r="C22" s="3"/>
      <c r="D22" s="110"/>
      <c r="E22" s="110"/>
      <c r="F22" s="110"/>
      <c r="G22" s="111"/>
      <c r="H22" s="111"/>
      <c r="I22" s="112"/>
      <c r="J22" s="144"/>
      <c r="K22" s="98"/>
      <c r="L22" s="98"/>
      <c r="M22" s="98"/>
      <c r="N22" s="98"/>
      <c r="O22" s="98"/>
      <c r="P22" s="98"/>
      <c r="Q22" s="98"/>
      <c r="R22" s="137"/>
      <c r="S22" s="137"/>
      <c r="T22" s="98"/>
      <c r="U22" s="98"/>
      <c r="V22" s="98"/>
      <c r="W22" s="103"/>
      <c r="X22" s="72"/>
    </row>
    <row x14ac:dyDescent="0.25" r="23" customHeight="1" ht="27.75">
      <c r="A23" s="119" t="s">
        <v>64</v>
      </c>
      <c r="B23" s="120"/>
      <c r="C23" s="3"/>
      <c r="D23" s="110"/>
      <c r="E23" s="110"/>
      <c r="F23" s="110"/>
      <c r="G23" s="111"/>
      <c r="H23" s="111"/>
      <c r="I23" s="112" t="s">
        <v>97</v>
      </c>
      <c r="J23" s="113" t="s">
        <v>56</v>
      </c>
      <c r="K23" s="98"/>
      <c r="L23" s="98"/>
      <c r="M23" s="98" t="s">
        <v>61</v>
      </c>
      <c r="N23" s="121" t="s">
        <v>52</v>
      </c>
      <c r="O23" s="121" t="s">
        <v>52</v>
      </c>
      <c r="P23" s="121" t="s">
        <v>52</v>
      </c>
      <c r="Q23" s="121" t="s">
        <v>52</v>
      </c>
      <c r="R23" s="137"/>
      <c r="S23" s="137"/>
      <c r="T23" s="98"/>
      <c r="U23" s="98"/>
      <c r="V23" s="98"/>
      <c r="W23" s="103"/>
      <c r="X23" s="72"/>
    </row>
    <row x14ac:dyDescent="0.25" r="24" customHeight="1" ht="27.75">
      <c r="A24" s="119" t="s">
        <v>66</v>
      </c>
      <c r="B24" s="120"/>
      <c r="C24" s="3"/>
      <c r="D24" s="110"/>
      <c r="E24" s="110"/>
      <c r="F24" s="110"/>
      <c r="G24" s="111"/>
      <c r="H24" s="111"/>
      <c r="I24" s="112" t="s">
        <v>98</v>
      </c>
      <c r="J24" s="113" t="s">
        <v>56</v>
      </c>
      <c r="K24" s="98"/>
      <c r="L24" s="98"/>
      <c r="M24" s="98" t="s">
        <v>54</v>
      </c>
      <c r="N24" s="106"/>
      <c r="O24" s="106"/>
      <c r="P24" s="106"/>
      <c r="Q24" s="106"/>
      <c r="R24" s="137"/>
      <c r="S24" s="137"/>
      <c r="T24" s="98"/>
      <c r="U24" s="98"/>
      <c r="V24" s="98"/>
      <c r="W24" s="103"/>
      <c r="X24" s="72"/>
    </row>
    <row x14ac:dyDescent="0.25" r="25" customHeight="1" ht="27.75">
      <c r="A25" s="124" t="s">
        <v>70</v>
      </c>
      <c r="B25" s="199"/>
      <c r="C25" s="3"/>
      <c r="D25" s="110"/>
      <c r="E25" s="110"/>
      <c r="F25" s="110"/>
      <c r="G25" s="111"/>
      <c r="H25" s="111"/>
      <c r="I25" s="112" t="s">
        <v>78</v>
      </c>
      <c r="J25" s="113" t="s">
        <v>63</v>
      </c>
      <c r="K25" s="98"/>
      <c r="L25" s="98"/>
      <c r="M25" s="98"/>
      <c r="N25" s="121" t="s">
        <v>57</v>
      </c>
      <c r="O25" s="106" t="s">
        <v>54</v>
      </c>
      <c r="P25" s="106"/>
      <c r="Q25" s="106"/>
      <c r="R25" s="106"/>
      <c r="S25" s="98"/>
      <c r="T25" s="98"/>
      <c r="U25" s="98"/>
      <c r="V25" s="98"/>
      <c r="W25" s="103"/>
      <c r="X25" s="72"/>
    </row>
    <row x14ac:dyDescent="0.25" r="26" customHeight="1" ht="27.75">
      <c r="A26" s="200" t="s">
        <v>75</v>
      </c>
      <c r="B26" s="201"/>
      <c r="C26" s="3"/>
      <c r="D26" s="110"/>
      <c r="E26" s="110"/>
      <c r="F26" s="110"/>
      <c r="G26" s="111"/>
      <c r="H26" s="111"/>
      <c r="I26" s="112" t="s">
        <v>99</v>
      </c>
      <c r="J26" s="113" t="s">
        <v>63</v>
      </c>
      <c r="K26" s="98"/>
      <c r="L26" s="98"/>
      <c r="M26" s="98"/>
      <c r="N26" s="118" t="s">
        <v>61</v>
      </c>
      <c r="O26" s="105"/>
      <c r="P26" s="105"/>
      <c r="Q26" s="105"/>
      <c r="R26" s="105"/>
      <c r="S26" s="98"/>
      <c r="T26" s="98"/>
      <c r="U26" s="98"/>
      <c r="V26" s="98"/>
      <c r="W26" s="103"/>
      <c r="X26" s="72"/>
    </row>
    <row x14ac:dyDescent="0.25" r="27" customHeight="1" ht="27.75">
      <c r="A27" s="200"/>
      <c r="B27" s="201"/>
      <c r="C27" s="3"/>
      <c r="D27" s="110"/>
      <c r="E27" s="110"/>
      <c r="F27" s="110"/>
      <c r="G27" s="111"/>
      <c r="H27" s="111"/>
      <c r="I27" s="112" t="s">
        <v>100</v>
      </c>
      <c r="J27" s="113" t="s">
        <v>63</v>
      </c>
      <c r="K27" s="98"/>
      <c r="L27" s="98"/>
      <c r="M27" s="98"/>
      <c r="N27" s="118" t="s">
        <v>69</v>
      </c>
      <c r="O27" s="122"/>
      <c r="P27" s="122"/>
      <c r="Q27" s="122"/>
      <c r="R27" s="122"/>
      <c r="S27" s="98"/>
      <c r="T27" s="98"/>
      <c r="U27" s="98"/>
      <c r="V27" s="98"/>
      <c r="W27" s="103"/>
      <c r="X27" s="72"/>
    </row>
    <row x14ac:dyDescent="0.25" r="28" customHeight="1" ht="27.75">
      <c r="A28" s="132"/>
      <c r="B28" s="2"/>
      <c r="C28" s="3"/>
      <c r="D28" s="110"/>
      <c r="E28" s="110"/>
      <c r="F28" s="110"/>
      <c r="G28" s="111"/>
      <c r="H28" s="111"/>
      <c r="I28" s="112" t="s">
        <v>47</v>
      </c>
      <c r="J28" s="113" t="s">
        <v>101</v>
      </c>
      <c r="K28" s="98"/>
      <c r="L28" s="98"/>
      <c r="M28" s="98"/>
      <c r="N28" s="98"/>
      <c r="O28" s="98" t="s">
        <v>50</v>
      </c>
      <c r="P28" s="99" t="s">
        <v>50</v>
      </c>
      <c r="Q28" s="99" t="s">
        <v>61</v>
      </c>
      <c r="R28" s="122" t="s">
        <v>61</v>
      </c>
      <c r="S28" s="122" t="s">
        <v>50</v>
      </c>
      <c r="T28" s="98" t="s">
        <v>50</v>
      </c>
      <c r="U28" s="99" t="s">
        <v>50</v>
      </c>
      <c r="V28" s="99" t="s">
        <v>50</v>
      </c>
      <c r="W28" s="103"/>
      <c r="X28" s="72"/>
    </row>
    <row x14ac:dyDescent="0.25" r="29" customHeight="1" ht="27.75">
      <c r="A29" s="132"/>
      <c r="B29" s="133"/>
      <c r="C29" s="3"/>
      <c r="D29" s="110"/>
      <c r="E29" s="110"/>
      <c r="F29" s="110"/>
      <c r="G29" s="111"/>
      <c r="H29" s="111"/>
      <c r="I29" s="112" t="s">
        <v>102</v>
      </c>
      <c r="J29" s="113" t="s">
        <v>68</v>
      </c>
      <c r="K29" s="98"/>
      <c r="L29" s="98"/>
      <c r="M29" s="98"/>
      <c r="N29" s="98"/>
      <c r="O29" s="98" t="s">
        <v>57</v>
      </c>
      <c r="P29" s="122" t="s">
        <v>57</v>
      </c>
      <c r="Q29" s="105" t="s">
        <v>61</v>
      </c>
      <c r="R29" s="105" t="s">
        <v>61</v>
      </c>
      <c r="S29" s="105" t="s">
        <v>61</v>
      </c>
      <c r="T29" s="98"/>
      <c r="U29" s="98"/>
      <c r="V29" s="98"/>
      <c r="W29" s="103"/>
      <c r="X29" s="72"/>
    </row>
    <row x14ac:dyDescent="0.25" r="30" customHeight="1" ht="27.75">
      <c r="A30" s="132"/>
      <c r="B30" s="133"/>
      <c r="C30" s="3"/>
      <c r="D30" s="110"/>
      <c r="E30" s="110"/>
      <c r="F30" s="110"/>
      <c r="G30" s="111"/>
      <c r="H30" s="111"/>
      <c r="I30" s="112" t="s">
        <v>103</v>
      </c>
      <c r="J30" s="113" t="s">
        <v>68</v>
      </c>
      <c r="K30" s="98"/>
      <c r="L30" s="98"/>
      <c r="M30" s="98"/>
      <c r="N30" s="98"/>
      <c r="O30" s="98" t="s">
        <v>61</v>
      </c>
      <c r="P30" s="98" t="s">
        <v>61</v>
      </c>
      <c r="Q30" s="105"/>
      <c r="R30" s="105"/>
      <c r="S30" s="105"/>
      <c r="T30" s="98"/>
      <c r="U30" s="98"/>
      <c r="V30" s="98"/>
      <c r="W30" s="103"/>
      <c r="X30" s="72"/>
    </row>
    <row x14ac:dyDescent="0.25" r="31" customHeight="1" ht="27.75">
      <c r="A31" s="132"/>
      <c r="B31" s="133"/>
      <c r="C31" s="3"/>
      <c r="D31" s="110"/>
      <c r="E31" s="110"/>
      <c r="F31" s="110"/>
      <c r="G31" s="111"/>
      <c r="H31" s="111"/>
      <c r="I31" s="112" t="s">
        <v>77</v>
      </c>
      <c r="J31" s="113" t="s">
        <v>104</v>
      </c>
      <c r="K31" s="98"/>
      <c r="L31" s="98"/>
      <c r="M31" s="98"/>
      <c r="N31" s="98"/>
      <c r="O31" s="98"/>
      <c r="P31" s="98" t="s">
        <v>57</v>
      </c>
      <c r="Q31" s="121"/>
      <c r="R31" s="121"/>
      <c r="S31" s="121"/>
      <c r="T31" s="121"/>
      <c r="U31" s="98"/>
      <c r="V31" s="98"/>
      <c r="W31" s="103"/>
      <c r="X31" s="72"/>
    </row>
    <row x14ac:dyDescent="0.25" r="32" customHeight="1" ht="27.75">
      <c r="A32" s="202"/>
      <c r="B32" s="203"/>
      <c r="C32" s="3"/>
      <c r="D32" s="110"/>
      <c r="E32" s="110"/>
      <c r="F32" s="110"/>
      <c r="G32" s="111"/>
      <c r="H32" s="111"/>
      <c r="I32" s="112" t="s">
        <v>105</v>
      </c>
      <c r="J32" s="113" t="s">
        <v>106</v>
      </c>
      <c r="K32" s="98"/>
      <c r="L32" s="98"/>
      <c r="M32" s="98"/>
      <c r="N32" s="98"/>
      <c r="O32" s="98"/>
      <c r="P32" s="98"/>
      <c r="Q32" s="98"/>
      <c r="R32" s="98" t="s">
        <v>61</v>
      </c>
      <c r="S32" s="105"/>
      <c r="T32" s="105"/>
      <c r="U32" s="105"/>
      <c r="V32" s="105"/>
      <c r="W32" s="103"/>
      <c r="X32" s="72"/>
    </row>
    <row x14ac:dyDescent="0.25" r="33" customHeight="1" ht="27.75">
      <c r="A33" s="202"/>
      <c r="B33" s="203"/>
      <c r="C33" s="3"/>
      <c r="D33" s="110"/>
      <c r="E33" s="110"/>
      <c r="F33" s="110"/>
      <c r="G33" s="111"/>
      <c r="H33" s="111"/>
      <c r="I33" s="112" t="s">
        <v>76</v>
      </c>
      <c r="J33" s="113" t="s">
        <v>106</v>
      </c>
      <c r="K33" s="98"/>
      <c r="L33" s="98"/>
      <c r="M33" s="98"/>
      <c r="N33" s="98"/>
      <c r="O33" s="98"/>
      <c r="P33" s="98"/>
      <c r="Q33" s="98"/>
      <c r="R33" s="98" t="s">
        <v>54</v>
      </c>
      <c r="S33" s="106"/>
      <c r="T33" s="106"/>
      <c r="U33" s="106"/>
      <c r="V33" s="106"/>
      <c r="W33" s="103"/>
      <c r="X33" s="72"/>
    </row>
    <row x14ac:dyDescent="0.25" r="34" customHeight="1" ht="27.75">
      <c r="A34" s="142"/>
      <c r="B34" s="143"/>
      <c r="C34" s="3"/>
      <c r="D34" s="110"/>
      <c r="E34" s="110"/>
      <c r="F34" s="110"/>
      <c r="G34" s="111"/>
      <c r="H34" s="111"/>
      <c r="I34" s="112" t="s">
        <v>72</v>
      </c>
      <c r="J34" s="113" t="s">
        <v>106</v>
      </c>
      <c r="K34" s="98"/>
      <c r="L34" s="100"/>
      <c r="M34" s="100"/>
      <c r="N34" s="100"/>
      <c r="O34" s="145"/>
      <c r="P34" s="100"/>
      <c r="Q34" s="100"/>
      <c r="R34" s="100" t="s">
        <v>52</v>
      </c>
      <c r="S34" s="118"/>
      <c r="T34" s="118"/>
      <c r="U34" s="118"/>
      <c r="V34" s="118"/>
      <c r="W34" s="103"/>
      <c r="X34" s="141">
        <f>COUNTIF(#REF!,$R$62)+COUNTIF(#REF!,$S$62)+COUNTIF(#REF!,$M$62)+COUNTIF(#REF!,$N$62)+COUNTIF(#REF!,$O$62)+COUNTIF(#REF!,$P$62)+COUNTIF(#REF!,$Q$62)</f>
      </c>
    </row>
    <row x14ac:dyDescent="0.25" r="35" customHeight="1" ht="27.75">
      <c r="A35" s="142"/>
      <c r="B35" s="143"/>
      <c r="C35" s="3"/>
      <c r="D35" s="110"/>
      <c r="E35" s="110"/>
      <c r="F35" s="110"/>
      <c r="G35" s="111"/>
      <c r="H35" s="111"/>
      <c r="I35" s="112" t="s">
        <v>107</v>
      </c>
      <c r="J35" s="113" t="s">
        <v>106</v>
      </c>
      <c r="K35" s="98"/>
      <c r="L35" s="100"/>
      <c r="M35" s="100"/>
      <c r="N35" s="100"/>
      <c r="O35" s="145"/>
      <c r="P35" s="100"/>
      <c r="Q35" s="100"/>
      <c r="R35" s="100" t="s">
        <v>57</v>
      </c>
      <c r="S35" s="121"/>
      <c r="T35" s="121"/>
      <c r="U35" s="121"/>
      <c r="V35" s="121"/>
      <c r="W35" s="103"/>
      <c r="X35" s="141"/>
    </row>
    <row x14ac:dyDescent="0.25" r="36" customHeight="1" ht="27.75">
      <c r="A36" s="142"/>
      <c r="B36" s="143"/>
      <c r="C36" s="3"/>
      <c r="D36" s="110"/>
      <c r="E36" s="110"/>
      <c r="F36" s="110"/>
      <c r="G36" s="111"/>
      <c r="H36" s="111"/>
      <c r="I36" s="112" t="s">
        <v>108</v>
      </c>
      <c r="J36" s="113" t="s">
        <v>109</v>
      </c>
      <c r="K36" s="100" t="s">
        <v>110</v>
      </c>
      <c r="L36" s="204"/>
      <c r="M36" s="204"/>
      <c r="N36" s="205"/>
      <c r="O36" s="204"/>
      <c r="P36" s="100"/>
      <c r="Q36" s="145"/>
      <c r="R36" s="145"/>
      <c r="S36" s="100"/>
      <c r="T36" s="100"/>
      <c r="U36" s="100"/>
      <c r="V36" s="100"/>
      <c r="W36" s="206"/>
      <c r="X36" s="141"/>
    </row>
    <row x14ac:dyDescent="0.25" r="37" customHeight="1" ht="27.75">
      <c r="A37" s="142"/>
      <c r="B37" s="143"/>
      <c r="C37" s="136"/>
      <c r="D37" s="110"/>
      <c r="E37" s="110"/>
      <c r="F37" s="110"/>
      <c r="G37" s="111"/>
      <c r="H37" s="111"/>
      <c r="I37" s="112" t="s">
        <v>80</v>
      </c>
      <c r="J37" s="113" t="s">
        <v>104</v>
      </c>
      <c r="K37" s="100"/>
      <c r="L37" s="100"/>
      <c r="M37" s="100"/>
      <c r="N37" s="100"/>
      <c r="O37" s="100"/>
      <c r="P37" s="100" t="s">
        <v>110</v>
      </c>
      <c r="Q37" s="204"/>
      <c r="R37" s="205"/>
      <c r="S37" s="205"/>
      <c r="T37" s="204"/>
      <c r="U37" s="100"/>
      <c r="V37" s="100"/>
      <c r="W37" s="103"/>
      <c r="X37" s="141">
        <f>COUNTIF(K42:V42,$R$62)+COUNTIF(K42:V42,$S$62)+COUNTIF(K42:V42,$M$62)+COUNTIF(K42:V42,$N$62)+COUNTIF(K42:V42,$O$62)+COUNTIF(K42:V42,$P$62)+COUNTIF(K42:V42,$Q$62)</f>
      </c>
    </row>
    <row x14ac:dyDescent="0.25" r="38" customHeight="1" ht="27.75">
      <c r="A38" s="142"/>
      <c r="B38" s="143"/>
      <c r="C38" s="136"/>
      <c r="D38" s="110"/>
      <c r="E38" s="110"/>
      <c r="F38" s="110"/>
      <c r="G38" s="111"/>
      <c r="H38" s="111"/>
      <c r="I38" s="112"/>
      <c r="J38" s="144"/>
      <c r="K38" s="100"/>
      <c r="L38" s="100"/>
      <c r="M38" s="100"/>
      <c r="N38" s="100"/>
      <c r="O38" s="100"/>
      <c r="P38" s="100"/>
      <c r="Q38" s="100"/>
      <c r="R38" s="145"/>
      <c r="S38" s="145"/>
      <c r="T38" s="100"/>
      <c r="U38" s="100"/>
      <c r="V38" s="100"/>
      <c r="W38" s="103"/>
      <c r="X38" s="141">
        <f>COUNTIF(K43:V43,$R$62)+COUNTIF(K43:V43,$S$62)+COUNTIF(K43:V43,$M$62)+COUNTIF(K43:V43,$N$62)+COUNTIF(K43:V43,$O$62)+COUNTIF(K43:V43,$P$62)+COUNTIF(K43:V43,$Q$62)</f>
      </c>
    </row>
    <row x14ac:dyDescent="0.25" r="39" customHeight="1" ht="27.75">
      <c r="A39" s="134" t="s">
        <v>111</v>
      </c>
      <c r="B39" s="135"/>
      <c r="C39" s="136"/>
      <c r="D39" s="110"/>
      <c r="E39" s="110"/>
      <c r="F39" s="110"/>
      <c r="G39" s="111"/>
      <c r="H39" s="111"/>
      <c r="I39" s="112"/>
      <c r="J39" s="144"/>
      <c r="K39" s="100"/>
      <c r="L39" s="100"/>
      <c r="M39" s="100"/>
      <c r="N39" s="145"/>
      <c r="O39" s="100"/>
      <c r="P39" s="100"/>
      <c r="Q39" s="145"/>
      <c r="R39" s="145"/>
      <c r="S39" s="100"/>
      <c r="T39" s="100"/>
      <c r="U39" s="100"/>
      <c r="V39" s="100"/>
      <c r="W39" s="103"/>
      <c r="X39" s="141">
        <f>COUNTIF(#REF!,$R$62)+COUNTIF(#REF!,$S$62)+COUNTIF(#REF!,$M$62)+COUNTIF(#REF!,$N$62)+COUNTIF(#REF!,$O$62)+COUNTIF(#REF!,$P$62)+COUNTIF(#REF!,$Q$62)</f>
      </c>
    </row>
    <row x14ac:dyDescent="0.25" r="40" customHeight="1" ht="27.75">
      <c r="A40" s="142"/>
      <c r="B40" s="143"/>
      <c r="C40" s="136"/>
      <c r="D40" s="110"/>
      <c r="E40" s="110"/>
      <c r="F40" s="110"/>
      <c r="G40" s="111"/>
      <c r="H40" s="111"/>
      <c r="I40" s="112"/>
      <c r="J40" s="144"/>
      <c r="K40" s="100"/>
      <c r="L40" s="100"/>
      <c r="M40" s="100"/>
      <c r="N40" s="145"/>
      <c r="O40" s="100"/>
      <c r="P40" s="100"/>
      <c r="Q40" s="145"/>
      <c r="R40" s="145"/>
      <c r="S40" s="100"/>
      <c r="T40" s="100"/>
      <c r="U40" s="100"/>
      <c r="V40" s="100"/>
      <c r="W40" s="103"/>
      <c r="X40" s="141">
        <f>COUNTIF(K44:V44,$R$62)+COUNTIF(K44:V44,$S$62)+COUNTIF(K44:V44,$M$62)+COUNTIF(K44:V44,$N$62)+COUNTIF(K44:V44,$O$62)+COUNTIF(K44:V44,$P$62)+COUNTIF(K44:V44,$Q$62)</f>
      </c>
    </row>
    <row x14ac:dyDescent="0.25" r="41" customHeight="1" ht="27.75">
      <c r="A41" s="142"/>
      <c r="B41" s="143"/>
      <c r="C41" s="136"/>
      <c r="D41" s="110"/>
      <c r="E41" s="110"/>
      <c r="F41" s="110"/>
      <c r="G41" s="111"/>
      <c r="H41" s="111"/>
      <c r="I41" s="112"/>
      <c r="J41" s="144"/>
      <c r="K41" s="100"/>
      <c r="L41" s="100"/>
      <c r="M41" s="100"/>
      <c r="N41" s="145"/>
      <c r="O41" s="100"/>
      <c r="P41" s="100"/>
      <c r="Q41" s="145"/>
      <c r="R41" s="145"/>
      <c r="S41" s="100"/>
      <c r="T41" s="100"/>
      <c r="U41" s="100"/>
      <c r="V41" s="100"/>
      <c r="W41" s="103"/>
      <c r="X41" s="141">
        <f>COUNTIF(K45:V45,$R$62)+COUNTIF(K45:V45,$S$62)+COUNTIF(K45:V45,$M$62)+COUNTIF(K45:V45,$N$62)+COUNTIF(K45:V45,$O$62)+COUNTIF(K45:V45,$P$62)+COUNTIF(K45:V45,$Q$62)</f>
      </c>
    </row>
    <row x14ac:dyDescent="0.25" r="42" customHeight="1" ht="27.75">
      <c r="A42" s="134" t="s">
        <v>112</v>
      </c>
      <c r="B42" s="135"/>
      <c r="C42" s="136"/>
      <c r="D42" s="110"/>
      <c r="E42" s="110"/>
      <c r="F42" s="110"/>
      <c r="G42" s="111"/>
      <c r="H42" s="111"/>
      <c r="I42" s="112"/>
      <c r="J42" s="144"/>
      <c r="K42" s="100"/>
      <c r="L42" s="100"/>
      <c r="M42" s="100"/>
      <c r="N42" s="145"/>
      <c r="O42" s="100"/>
      <c r="P42" s="100"/>
      <c r="Q42" s="145"/>
      <c r="R42" s="145"/>
      <c r="S42" s="100"/>
      <c r="T42" s="100"/>
      <c r="U42" s="100"/>
      <c r="V42" s="100"/>
      <c r="W42" s="103"/>
      <c r="X42" s="141">
        <f>COUNTIF(K46:V46,$R$62)+COUNTIF(K46:V46,$S$62)+COUNTIF(K46:V46,$M$62)+COUNTIF(K46:V46,$N$62)+COUNTIF(K46:V46,$O$62)+COUNTIF(K46:V46,$P$62)+COUNTIF(K46:V46,$Q$62)</f>
      </c>
    </row>
    <row x14ac:dyDescent="0.25" r="43" customHeight="1" ht="27.75">
      <c r="A43" s="142"/>
      <c r="B43" s="143"/>
      <c r="C43" s="136"/>
      <c r="D43" s="110"/>
      <c r="E43" s="110"/>
      <c r="F43" s="110"/>
      <c r="G43" s="111"/>
      <c r="H43" s="111"/>
      <c r="I43" s="112"/>
      <c r="J43" s="144"/>
      <c r="K43" s="100"/>
      <c r="L43" s="100"/>
      <c r="M43" s="100"/>
      <c r="N43" s="145"/>
      <c r="O43" s="100"/>
      <c r="P43" s="100"/>
      <c r="Q43" s="145"/>
      <c r="R43" s="145"/>
      <c r="S43" s="100"/>
      <c r="T43" s="100"/>
      <c r="U43" s="100"/>
      <c r="V43" s="100"/>
      <c r="W43" s="103"/>
      <c r="X43" s="141">
        <f>COUNTIF(K47:V47,$R$62)+COUNTIF(K47:V47,$S$62)+COUNTIF(K47:V47,$M$62)+COUNTIF(K47:V47,$N$62)+COUNTIF(K47:V47,$O$62)+COUNTIF(K47:V47,$P$62)+COUNTIF(K47:V47,$Q$62)</f>
      </c>
    </row>
    <row x14ac:dyDescent="0.25" r="44" customHeight="1" ht="27.75">
      <c r="A44" s="142"/>
      <c r="B44" s="143"/>
      <c r="C44" s="136"/>
      <c r="D44" s="110"/>
      <c r="E44" s="110"/>
      <c r="F44" s="110"/>
      <c r="G44" s="111"/>
      <c r="H44" s="111"/>
      <c r="I44" s="112"/>
      <c r="J44" s="144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3"/>
      <c r="X44" s="141">
        <f>COUNTIF(K48:V48,$R$62)+COUNTIF(K48:V48,$S$62)+COUNTIF(K48:V48,$M$62)+COUNTIF(K48:V48,$N$62)+COUNTIF(K48:V48,$O$62)+COUNTIF(K48:V48,$P$62)+COUNTIF(K48:V48,$Q$62)</f>
      </c>
    </row>
    <row x14ac:dyDescent="0.25" r="45" customHeight="1" ht="27.75">
      <c r="A45" s="134" t="s">
        <v>113</v>
      </c>
      <c r="B45" s="135"/>
      <c r="C45" s="136"/>
      <c r="D45" s="110"/>
      <c r="E45" s="110"/>
      <c r="F45" s="110"/>
      <c r="G45" s="111"/>
      <c r="H45" s="111"/>
      <c r="I45" s="112"/>
      <c r="J45" s="144"/>
      <c r="K45" s="207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3"/>
      <c r="X45" s="141">
        <f>COUNTIF(K49:V49,$R$62)+COUNTIF(K49:V49,$S$62)+COUNTIF(K49:V49,$M$62)+COUNTIF(K49:V49,$N$62)+COUNTIF(K49:V49,$O$62)+COUNTIF(K49:V49,$P$62)+COUNTIF(K49:V49,$Q$62)</f>
      </c>
    </row>
    <row x14ac:dyDescent="0.25" r="46" customHeight="1" ht="27.75">
      <c r="A46" s="142"/>
      <c r="B46" s="143"/>
      <c r="C46" s="136"/>
      <c r="D46" s="110"/>
      <c r="E46" s="110"/>
      <c r="F46" s="110"/>
      <c r="G46" s="111"/>
      <c r="H46" s="111"/>
      <c r="I46" s="112"/>
      <c r="J46" s="144"/>
      <c r="K46" s="207"/>
      <c r="L46" s="100"/>
      <c r="M46" s="100"/>
      <c r="N46" s="100"/>
      <c r="O46" s="145"/>
      <c r="P46" s="100"/>
      <c r="Q46" s="100"/>
      <c r="R46" s="100"/>
      <c r="S46" s="100"/>
      <c r="T46" s="100"/>
      <c r="U46" s="100"/>
      <c r="V46" s="100"/>
      <c r="W46" s="103"/>
      <c r="X46" s="141">
        <f>COUNTIF(K50:V50,$R$62)+COUNTIF(K50:V50,$S$62)+COUNTIF(K50:V50,$M$62)+COUNTIF(K50:V50,$N$62)+COUNTIF(K50:V50,$O$62)+COUNTIF(K50:V50,$P$62)+COUNTIF(K50:V50,$Q$62)</f>
      </c>
    </row>
    <row x14ac:dyDescent="0.25" r="47" customHeight="1" ht="27.75">
      <c r="A47" s="142"/>
      <c r="B47" s="143"/>
      <c r="C47" s="136"/>
      <c r="D47" s="110"/>
      <c r="E47" s="110"/>
      <c r="F47" s="110"/>
      <c r="G47" s="111"/>
      <c r="H47" s="111"/>
      <c r="I47" s="112"/>
      <c r="J47" s="144"/>
      <c r="K47" s="207"/>
      <c r="L47" s="100"/>
      <c r="M47" s="100"/>
      <c r="N47" s="100"/>
      <c r="O47" s="145"/>
      <c r="P47" s="100"/>
      <c r="Q47" s="100"/>
      <c r="R47" s="100"/>
      <c r="S47" s="100"/>
      <c r="T47" s="100"/>
      <c r="U47" s="100"/>
      <c r="V47" s="100"/>
      <c r="W47" s="103"/>
      <c r="X47" s="141">
        <f>COUNTIF(K51:V51,$R$62)+COUNTIF(K51:V51,$S$62)+COUNTIF(K51:V51,$M$62)+COUNTIF(K51:V51,$N$62)+COUNTIF(K51:V51,$O$62)+COUNTIF(K51:V51,$P$62)+COUNTIF(K51:V51,$Q$62)</f>
      </c>
    </row>
    <row x14ac:dyDescent="0.25" r="48" customHeight="1" ht="27.75">
      <c r="A48" s="134" t="s">
        <v>114</v>
      </c>
      <c r="B48" s="135"/>
      <c r="C48" s="136"/>
      <c r="D48" s="110"/>
      <c r="E48" s="110"/>
      <c r="F48" s="110"/>
      <c r="G48" s="111"/>
      <c r="H48" s="111"/>
      <c r="I48" s="112"/>
      <c r="J48" s="144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3"/>
      <c r="X48" s="141">
        <f>COUNTIF(K52:V52,$R$62)+COUNTIF(K52:V52,$S$62)+COUNTIF(K52:V52,$M$62)+COUNTIF(K52:V52,$N$62)+COUNTIF(K52:V52,$O$62)+COUNTIF(K52:V52,$P$62)+COUNTIF(K52:V52,$Q$62)</f>
      </c>
    </row>
    <row x14ac:dyDescent="0.25" r="49" customHeight="1" ht="27.75">
      <c r="A49" s="142"/>
      <c r="B49" s="143"/>
      <c r="C49" s="136"/>
      <c r="D49" s="110"/>
      <c r="E49" s="110"/>
      <c r="F49" s="110"/>
      <c r="G49" s="111"/>
      <c r="H49" s="111"/>
      <c r="I49" s="112"/>
      <c r="J49" s="144"/>
      <c r="K49" s="100"/>
      <c r="L49" s="100"/>
      <c r="M49" s="100"/>
      <c r="N49" s="145"/>
      <c r="O49" s="100"/>
      <c r="P49" s="100"/>
      <c r="Q49" s="145"/>
      <c r="R49" s="145"/>
      <c r="S49" s="100"/>
      <c r="T49" s="100"/>
      <c r="U49" s="100"/>
      <c r="V49" s="100"/>
      <c r="W49" s="103"/>
      <c r="X49" s="141">
        <f>COUNTIF(K53:V53,$R$62)+COUNTIF(K53:V53,$S$62)+COUNTIF(K53:V53,$M$62)+COUNTIF(K53:V53,$N$62)+COUNTIF(K53:V53,$O$62)+COUNTIF(K53:V53,$P$62)+COUNTIF(K53:V53,$Q$62)</f>
      </c>
    </row>
    <row x14ac:dyDescent="0.25" r="50" customHeight="1" ht="27.75">
      <c r="A50" s="142"/>
      <c r="B50" s="143"/>
      <c r="C50" s="136"/>
      <c r="D50" s="110"/>
      <c r="E50" s="110"/>
      <c r="F50" s="110"/>
      <c r="G50" s="111"/>
      <c r="H50" s="111"/>
      <c r="I50" s="112"/>
      <c r="J50" s="144"/>
      <c r="K50" s="100"/>
      <c r="L50" s="100"/>
      <c r="M50" s="100"/>
      <c r="N50" s="145"/>
      <c r="O50" s="100"/>
      <c r="P50" s="100"/>
      <c r="Q50" s="145"/>
      <c r="R50" s="145"/>
      <c r="S50" s="100"/>
      <c r="T50" s="100"/>
      <c r="U50" s="100"/>
      <c r="V50" s="100"/>
      <c r="W50" s="103"/>
      <c r="X50" s="141">
        <f>COUNTIF(#REF!,$R$62)+COUNTIF(#REF!,$S$62)+COUNTIF(#REF!,$M$62)+COUNTIF(#REF!,$N$62)+COUNTIF(#REF!,$O$62)+COUNTIF(#REF!,$P$62)+COUNTIF(#REF!,$Q$62)</f>
      </c>
    </row>
    <row x14ac:dyDescent="0.25" r="51" customHeight="1" ht="27.75">
      <c r="A51" s="134" t="s">
        <v>79</v>
      </c>
      <c r="B51" s="135"/>
      <c r="C51" s="136"/>
      <c r="D51" s="110"/>
      <c r="E51" s="110"/>
      <c r="F51" s="110"/>
      <c r="G51" s="111"/>
      <c r="H51" s="111"/>
      <c r="I51" s="112"/>
      <c r="J51" s="144"/>
      <c r="K51" s="100"/>
      <c r="L51" s="100"/>
      <c r="M51" s="100"/>
      <c r="N51" s="145"/>
      <c r="O51" s="100"/>
      <c r="P51" s="100"/>
      <c r="Q51" s="145"/>
      <c r="R51" s="145"/>
      <c r="S51" s="100"/>
      <c r="T51" s="100"/>
      <c r="U51" s="100"/>
      <c r="V51" s="100"/>
      <c r="W51" s="103"/>
      <c r="X51" s="141"/>
    </row>
    <row x14ac:dyDescent="0.25" r="52" customHeight="1" ht="27.75">
      <c r="A52" s="142"/>
      <c r="B52" s="143"/>
      <c r="C52" s="136"/>
      <c r="D52" s="110"/>
      <c r="E52" s="110"/>
      <c r="F52" s="110"/>
      <c r="G52" s="111"/>
      <c r="H52" s="111"/>
      <c r="I52" s="112"/>
      <c r="J52" s="144"/>
      <c r="K52" s="100"/>
      <c r="L52" s="100"/>
      <c r="M52" s="100"/>
      <c r="N52" s="145"/>
      <c r="O52" s="100"/>
      <c r="P52" s="100"/>
      <c r="Q52" s="145"/>
      <c r="R52" s="145"/>
      <c r="S52" s="100"/>
      <c r="T52" s="100"/>
      <c r="U52" s="100"/>
      <c r="V52" s="100"/>
      <c r="W52" s="103"/>
      <c r="X52" s="148"/>
    </row>
    <row x14ac:dyDescent="0.25" r="53" customHeight="1" ht="27.75">
      <c r="A53" s="142"/>
      <c r="B53" s="143"/>
      <c r="C53" s="136"/>
      <c r="D53" s="110"/>
      <c r="E53" s="110"/>
      <c r="F53" s="110"/>
      <c r="G53" s="111"/>
      <c r="H53" s="111"/>
      <c r="I53" s="112"/>
      <c r="J53" s="144"/>
      <c r="K53" s="100"/>
      <c r="L53" s="100"/>
      <c r="M53" s="100"/>
      <c r="N53" s="145"/>
      <c r="O53" s="100"/>
      <c r="P53" s="100"/>
      <c r="Q53" s="145"/>
      <c r="R53" s="145"/>
      <c r="S53" s="100"/>
      <c r="T53" s="100"/>
      <c r="U53" s="100"/>
      <c r="V53" s="100"/>
      <c r="W53" s="103"/>
      <c r="X53" s="151"/>
    </row>
    <row x14ac:dyDescent="0.25" r="54" customHeight="1" ht="27.75">
      <c r="A54" s="134" t="s">
        <v>82</v>
      </c>
      <c r="B54" s="135"/>
      <c r="C54" s="136"/>
      <c r="D54" s="110"/>
      <c r="E54" s="110"/>
      <c r="F54" s="110"/>
      <c r="G54" s="111"/>
      <c r="H54" s="111"/>
      <c r="I54" s="112"/>
      <c r="J54" s="144"/>
      <c r="K54" s="100"/>
      <c r="L54" s="100"/>
      <c r="M54" s="100"/>
      <c r="N54" s="145"/>
      <c r="O54" s="100"/>
      <c r="P54" s="100"/>
      <c r="Q54" s="145"/>
      <c r="R54" s="145"/>
      <c r="S54" s="100"/>
      <c r="T54" s="100"/>
      <c r="U54" s="100"/>
      <c r="V54" s="100"/>
      <c r="W54" s="103"/>
      <c r="X54" s="151"/>
    </row>
    <row x14ac:dyDescent="0.25" r="55" customHeight="1" ht="27.75">
      <c r="A55" s="142"/>
      <c r="B55" s="143"/>
      <c r="C55" s="136"/>
      <c r="D55" s="110"/>
      <c r="E55" s="110"/>
      <c r="F55" s="110"/>
      <c r="G55" s="111"/>
      <c r="H55" s="111"/>
      <c r="I55" s="112"/>
      <c r="J55" s="144"/>
      <c r="K55" s="100"/>
      <c r="L55" s="100"/>
      <c r="M55" s="100"/>
      <c r="N55" s="145"/>
      <c r="O55" s="100"/>
      <c r="P55" s="100"/>
      <c r="Q55" s="145"/>
      <c r="R55" s="145"/>
      <c r="S55" s="100"/>
      <c r="T55" s="100"/>
      <c r="U55" s="100"/>
      <c r="V55" s="100"/>
      <c r="W55" s="103"/>
      <c r="X55" s="151"/>
    </row>
    <row x14ac:dyDescent="0.25" r="56" customHeight="1" ht="27.75">
      <c r="A56" s="156"/>
      <c r="B56" s="157"/>
      <c r="C56" s="136"/>
      <c r="D56" s="110"/>
      <c r="E56" s="110"/>
      <c r="F56" s="110"/>
      <c r="G56" s="111"/>
      <c r="H56" s="111"/>
      <c r="I56" s="112"/>
      <c r="J56" s="144"/>
      <c r="K56" s="100"/>
      <c r="L56" s="100"/>
      <c r="M56" s="100"/>
      <c r="N56" s="145"/>
      <c r="O56" s="100"/>
      <c r="P56" s="100"/>
      <c r="Q56" s="145"/>
      <c r="R56" s="145"/>
      <c r="S56" s="100"/>
      <c r="T56" s="100"/>
      <c r="U56" s="100"/>
      <c r="V56" s="100"/>
      <c r="W56" s="103"/>
      <c r="X56" s="151"/>
    </row>
    <row x14ac:dyDescent="0.25" r="57" customHeight="1" ht="26.25">
      <c r="A57" s="163"/>
      <c r="B57" s="164"/>
      <c r="C57" s="136"/>
      <c r="D57" s="110"/>
      <c r="E57" s="110"/>
      <c r="F57" s="110"/>
      <c r="G57" s="111"/>
      <c r="H57" s="111"/>
      <c r="I57" s="149"/>
      <c r="J57" s="144"/>
      <c r="K57" s="158"/>
      <c r="L57" s="100"/>
      <c r="M57" s="100"/>
      <c r="N57" s="145"/>
      <c r="O57" s="100"/>
      <c r="P57" s="100"/>
      <c r="Q57" s="145"/>
      <c r="R57" s="145"/>
      <c r="S57" s="100"/>
      <c r="T57" s="100"/>
      <c r="U57" s="100"/>
      <c r="V57" s="100"/>
      <c r="W57" s="103"/>
      <c r="X57" s="151"/>
    </row>
    <row x14ac:dyDescent="0.25" r="58" customHeight="1" ht="26.25">
      <c r="A58" s="163"/>
      <c r="B58" s="164"/>
      <c r="C58" s="136"/>
      <c r="D58" s="110"/>
      <c r="E58" s="110"/>
      <c r="F58" s="110"/>
      <c r="G58" s="111"/>
      <c r="H58" s="111"/>
      <c r="I58" s="152"/>
      <c r="J58" s="153"/>
      <c r="K58" s="166"/>
      <c r="L58" s="158"/>
      <c r="M58" s="158"/>
      <c r="N58" s="159"/>
      <c r="O58" s="158"/>
      <c r="P58" s="158"/>
      <c r="Q58" s="159"/>
      <c r="R58" s="159"/>
      <c r="S58" s="158"/>
      <c r="T58" s="158"/>
      <c r="U58" s="158"/>
      <c r="V58" s="158"/>
      <c r="W58" s="162"/>
      <c r="X58" s="151"/>
    </row>
    <row x14ac:dyDescent="0.25" r="59" customHeight="1" ht="26.25">
      <c r="A59" s="163"/>
      <c r="B59" s="164"/>
      <c r="C59" s="136"/>
      <c r="D59" s="165"/>
      <c r="E59" s="165"/>
      <c r="F59" s="165"/>
      <c r="G59" s="165"/>
      <c r="H59" s="165"/>
      <c r="I59" s="152"/>
      <c r="J59" s="154"/>
      <c r="K59" s="166"/>
      <c r="L59" s="166"/>
      <c r="M59" s="166"/>
      <c r="N59" s="167"/>
      <c r="O59" s="166"/>
      <c r="P59" s="166"/>
      <c r="Q59" s="167"/>
      <c r="R59" s="167"/>
      <c r="S59" s="166"/>
      <c r="T59" s="166"/>
      <c r="U59" s="166"/>
      <c r="V59" s="166"/>
      <c r="W59" s="169"/>
      <c r="X59" s="151"/>
    </row>
    <row x14ac:dyDescent="0.25" r="60" customHeight="1" ht="18.75" hidden="1">
      <c r="A60" s="4"/>
      <c r="B60" s="2"/>
      <c r="C60" s="136"/>
      <c r="D60" s="165"/>
      <c r="E60" s="165"/>
      <c r="F60" s="165"/>
      <c r="G60" s="165"/>
      <c r="H60" s="165"/>
      <c r="I60" s="152"/>
      <c r="J60" s="154"/>
      <c r="K60" s="166"/>
      <c r="L60" s="166"/>
      <c r="M60" s="166"/>
      <c r="N60" s="167"/>
      <c r="O60" s="166"/>
      <c r="P60" s="166"/>
      <c r="Q60" s="167"/>
      <c r="R60" s="167"/>
      <c r="S60" s="166"/>
      <c r="T60" s="166"/>
      <c r="U60" s="166"/>
      <c r="V60" s="166"/>
      <c r="W60" s="169"/>
      <c r="X60" s="175">
        <f>COUNTIF(#REF!,$R$62)+COUNTIF(#REF!,$S$62)+COUNTIF(#REF!,$M$62)+COUNTIF(#REF!,$N$62)+COUNTIF(#REF!,$O$62)+COUNTIF(#REF!,$P$62)+COUNTIF(#REF!,$Q$62)</f>
      </c>
    </row>
    <row x14ac:dyDescent="0.25" r="61" customHeight="1" ht="18.75">
      <c r="A61" s="4"/>
      <c r="B61" s="2"/>
      <c r="C61" s="3"/>
      <c r="D61" s="165"/>
      <c r="E61" s="165"/>
      <c r="F61" s="165"/>
      <c r="G61" s="165"/>
      <c r="H61" s="165"/>
      <c r="I61" s="4"/>
      <c r="J61" s="154"/>
      <c r="K61" s="208" t="s">
        <v>115</v>
      </c>
      <c r="L61" s="166"/>
      <c r="M61" s="166"/>
      <c r="N61" s="167"/>
      <c r="O61" s="166"/>
      <c r="P61" s="166"/>
      <c r="Q61" s="167"/>
      <c r="R61" s="167"/>
      <c r="S61" s="166"/>
      <c r="T61" s="166"/>
      <c r="U61" s="166"/>
      <c r="V61" s="166"/>
      <c r="W61" s="169"/>
      <c r="X61" s="3"/>
    </row>
    <row x14ac:dyDescent="0.25" r="62" customHeight="1" ht="18.75">
      <c r="A62" s="4"/>
      <c r="B62" s="2"/>
      <c r="C62" s="3"/>
      <c r="D62" s="4"/>
      <c r="E62" s="4"/>
      <c r="F62" s="4"/>
      <c r="G62" s="4"/>
      <c r="H62" s="4"/>
      <c r="I62" s="4"/>
      <c r="J62" s="152" t="s">
        <v>83</v>
      </c>
      <c r="K62" s="193"/>
      <c r="L62" s="170" t="s">
        <v>50</v>
      </c>
      <c r="M62" s="171" t="s">
        <v>61</v>
      </c>
      <c r="N62" s="171" t="s">
        <v>54</v>
      </c>
      <c r="O62" s="171" t="s">
        <v>51</v>
      </c>
      <c r="P62" s="171" t="s">
        <v>84</v>
      </c>
      <c r="Q62" s="172" t="s">
        <v>52</v>
      </c>
      <c r="R62" s="172" t="s">
        <v>57</v>
      </c>
      <c r="S62" s="172" t="s">
        <v>69</v>
      </c>
      <c r="T62" s="209" t="s">
        <v>49</v>
      </c>
      <c r="U62" s="209" t="s">
        <v>110</v>
      </c>
      <c r="V62" s="209" t="s">
        <v>116</v>
      </c>
      <c r="W62" s="2"/>
      <c r="X62" s="3"/>
    </row>
  </sheetData>
  <mergeCells count="45">
    <mergeCell ref="I1:W1"/>
    <mergeCell ref="A2:B2"/>
    <mergeCell ref="I2:W2"/>
    <mergeCell ref="I3:J3"/>
    <mergeCell ref="I4:J4"/>
    <mergeCell ref="I5:J5"/>
    <mergeCell ref="D6:D17"/>
    <mergeCell ref="I6:J6"/>
    <mergeCell ref="I7:J7"/>
    <mergeCell ref="E8:E17"/>
    <mergeCell ref="F8:F17"/>
    <mergeCell ref="G8:G17"/>
    <mergeCell ref="H8:H17"/>
    <mergeCell ref="I8:J8"/>
    <mergeCell ref="I9:J9"/>
    <mergeCell ref="I10:J10"/>
    <mergeCell ref="I11:J11"/>
    <mergeCell ref="I12:J12"/>
    <mergeCell ref="I13:J13"/>
    <mergeCell ref="A14:B14"/>
    <mergeCell ref="I14:J14"/>
    <mergeCell ref="I16:W16"/>
    <mergeCell ref="A23:B23"/>
    <mergeCell ref="A24:B24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1"/>
  <sheetViews>
    <sheetView workbookViewId="0"/>
  </sheetViews>
  <sheetFormatPr defaultRowHeight="15" x14ac:dyDescent="0.25"/>
  <cols>
    <col min="1" max="1" style="176" width="40.86214285714286" customWidth="1" bestFit="1"/>
    <col min="2" max="2" style="177" width="34.57642857142857" customWidth="1" bestFit="1"/>
    <col min="3" max="3" style="178" width="1.5764285714285713" customWidth="1" bestFit="1"/>
    <col min="4" max="4" style="176" width="5.147857142857143" customWidth="1" bestFit="1"/>
    <col min="5" max="5" style="176" width="5.147857142857143" customWidth="1" bestFit="1"/>
    <col min="6" max="6" style="176" width="5.147857142857143" customWidth="1" bestFit="1"/>
    <col min="7" max="7" style="176" width="5.147857142857143" customWidth="1" bestFit="1"/>
    <col min="8" max="8" style="176" width="29.005" customWidth="1" bestFit="1"/>
    <col min="9" max="9" style="179" width="21.005" customWidth="1" bestFit="1"/>
    <col min="10" max="10" style="180" width="15.576428571428572" customWidth="1" bestFit="1"/>
    <col min="11" max="11" style="180" width="15.576428571428572" customWidth="1" bestFit="1"/>
    <col min="12" max="12" style="180" width="15.576428571428572" customWidth="1" bestFit="1"/>
    <col min="13" max="13" style="180" width="15.576428571428572" customWidth="1" bestFit="1"/>
    <col min="14" max="14" style="180" width="15.576428571428572" customWidth="1" bestFit="1"/>
    <col min="15" max="15" style="180" width="15.576428571428572" customWidth="1" bestFit="1"/>
    <col min="16" max="16" style="180" width="15.576428571428572" customWidth="1" bestFit="1"/>
    <col min="17" max="17" style="181" width="15.576428571428572" customWidth="1" bestFit="1"/>
    <col min="18" max="18" style="182" width="15.576428571428572" customWidth="1" bestFit="1"/>
    <col min="19" max="19" style="176" width="34.86214285714286" customWidth="1" bestFit="1"/>
    <col min="20" max="20" style="183" width="13.576428571428572" customWidth="1" bestFit="1" hidden="1"/>
  </cols>
  <sheetData>
    <row x14ac:dyDescent="0.25" r="1" customHeight="1" ht="88.5">
      <c r="A1" s="1" t="s">
        <v>0</v>
      </c>
      <c r="B1" s="2"/>
      <c r="C1" s="3"/>
      <c r="D1" s="4"/>
      <c r="E1" s="4"/>
      <c r="F1" s="4"/>
      <c r="G1" s="4"/>
      <c r="H1" s="5"/>
      <c r="I1" s="6"/>
      <c r="J1" s="7"/>
      <c r="K1" s="7"/>
      <c r="L1" s="7"/>
      <c r="M1" s="7"/>
      <c r="N1" s="7"/>
      <c r="O1" s="7"/>
      <c r="P1" s="7"/>
      <c r="Q1" s="8"/>
      <c r="R1" s="9"/>
      <c r="S1" s="8"/>
      <c r="T1" s="10"/>
    </row>
    <row x14ac:dyDescent="0.25" r="2" customHeight="1" ht="27.75">
      <c r="A2" s="11" t="s">
        <v>1</v>
      </c>
      <c r="B2" s="12"/>
      <c r="C2" s="3"/>
      <c r="D2" s="4"/>
      <c r="E2" s="4"/>
      <c r="F2" s="4"/>
      <c r="G2" s="4"/>
      <c r="H2" s="13" t="s">
        <v>2</v>
      </c>
      <c r="I2" s="14"/>
      <c r="J2" s="15"/>
      <c r="K2" s="15"/>
      <c r="L2" s="15"/>
      <c r="M2" s="15"/>
      <c r="N2" s="15"/>
      <c r="O2" s="15"/>
      <c r="P2" s="15"/>
      <c r="Q2" s="16"/>
      <c r="R2" s="17"/>
      <c r="S2" s="18"/>
      <c r="T2" s="19"/>
    </row>
    <row x14ac:dyDescent="0.25" r="3" customHeight="1" ht="27.75">
      <c r="A3" s="20" t="s">
        <v>3</v>
      </c>
      <c r="B3" s="21" t="s">
        <v>4</v>
      </c>
      <c r="C3" s="3"/>
      <c r="D3" s="22" t="s">
        <v>5</v>
      </c>
      <c r="E3" s="4"/>
      <c r="F3" s="4"/>
      <c r="G3" s="4"/>
      <c r="H3" s="23" t="s">
        <v>6</v>
      </c>
      <c r="I3" s="24"/>
      <c r="J3" s="25" t="s">
        <v>7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  <c r="Q3" s="26" t="s">
        <v>14</v>
      </c>
      <c r="R3" s="27">
        <f>SUM(J4:Q4)</f>
      </c>
      <c r="S3" s="28"/>
      <c r="T3" s="29"/>
    </row>
    <row x14ac:dyDescent="0.25" r="4" customHeight="1" ht="27.75">
      <c r="A4" s="30" t="s">
        <v>15</v>
      </c>
      <c r="B4" s="31">
        <v>19653</v>
      </c>
      <c r="C4" s="32"/>
      <c r="D4" s="33"/>
      <c r="E4" s="34"/>
      <c r="F4" s="34"/>
      <c r="G4" s="34"/>
      <c r="H4" s="35" t="s">
        <v>16</v>
      </c>
      <c r="I4" s="36"/>
      <c r="J4" s="37">
        <v>0.06</v>
      </c>
      <c r="K4" s="37">
        <v>0.15</v>
      </c>
      <c r="L4" s="37">
        <v>0.18</v>
      </c>
      <c r="M4" s="37">
        <v>0.19</v>
      </c>
      <c r="N4" s="37">
        <v>0.15</v>
      </c>
      <c r="O4" s="37">
        <v>0.15</v>
      </c>
      <c r="P4" s="37">
        <v>0.12</v>
      </c>
      <c r="Q4" s="37"/>
      <c r="R4" s="38" t="s">
        <v>17</v>
      </c>
      <c r="S4" s="28"/>
      <c r="T4" s="19"/>
    </row>
    <row x14ac:dyDescent="0.25" r="5" customHeight="1" ht="27.75">
      <c r="A5" s="30" t="s">
        <v>18</v>
      </c>
      <c r="B5" s="31">
        <v>20000</v>
      </c>
      <c r="C5" s="3"/>
      <c r="D5" s="33"/>
      <c r="E5" s="22" t="s">
        <v>19</v>
      </c>
      <c r="F5" s="34"/>
      <c r="G5" s="34"/>
      <c r="H5" s="39" t="s">
        <v>20</v>
      </c>
      <c r="I5" s="40"/>
      <c r="J5" s="41">
        <f>SUM(J4:J4)*$B$4</f>
      </c>
      <c r="K5" s="41">
        <f>SUM(J4:K4)*$B$4</f>
      </c>
      <c r="L5" s="41">
        <f>SUM(J4:L4)*$B$4</f>
      </c>
      <c r="M5" s="41">
        <f>SUM(J4:M4)*$B$4</f>
      </c>
      <c r="N5" s="41">
        <f>SUM(J4:N4)*$B$4</f>
      </c>
      <c r="O5" s="41">
        <f>SUM(J4:O4)*$B$4</f>
      </c>
      <c r="P5" s="41">
        <f>SUM(J4:P4)*$B$4</f>
      </c>
      <c r="Q5" s="41"/>
      <c r="R5" s="42"/>
      <c r="S5" s="28"/>
      <c r="T5" s="19"/>
    </row>
    <row x14ac:dyDescent="0.25" r="6" customHeight="1" ht="27.75">
      <c r="A6" s="30" t="s">
        <v>21</v>
      </c>
      <c r="B6" s="31">
        <v>18000</v>
      </c>
      <c r="C6" s="43">
        <f>B5/B4</f>
      </c>
      <c r="D6" s="33"/>
      <c r="E6" s="33"/>
      <c r="F6" s="44"/>
      <c r="G6" s="44"/>
      <c r="H6" s="39" t="s">
        <v>22</v>
      </c>
      <c r="I6" s="40"/>
      <c r="J6" s="41">
        <f>SUM(J4:J4)*$B$5</f>
      </c>
      <c r="K6" s="41">
        <f>SUM(J4:K4)*$B$5</f>
      </c>
      <c r="L6" s="41">
        <f>SUM(J4:L4)*$B$5</f>
      </c>
      <c r="M6" s="41">
        <f>SUM(J4:M4)*$B$5</f>
      </c>
      <c r="N6" s="41">
        <f>SUM(J4:N4)*$B$5</f>
      </c>
      <c r="O6" s="41">
        <f>SUM(J4:O4)*$B$5</f>
      </c>
      <c r="P6" s="41">
        <f>SUM(J4:P4)*$B$5</f>
      </c>
      <c r="Q6" s="41"/>
      <c r="R6" s="42"/>
      <c r="S6" s="28"/>
      <c r="T6" s="19"/>
    </row>
    <row x14ac:dyDescent="0.25" r="7" customHeight="1" ht="27.75">
      <c r="A7" s="30" t="s">
        <v>23</v>
      </c>
      <c r="B7" s="45"/>
      <c r="C7" s="3"/>
      <c r="D7" s="33"/>
      <c r="E7" s="33"/>
      <c r="F7" s="22" t="s">
        <v>24</v>
      </c>
      <c r="G7" s="22" t="s">
        <v>25</v>
      </c>
      <c r="H7" s="46" t="s">
        <v>26</v>
      </c>
      <c r="I7" s="47"/>
      <c r="J7" s="48"/>
      <c r="K7" s="48"/>
      <c r="L7" s="48"/>
      <c r="M7" s="48"/>
      <c r="N7" s="48"/>
      <c r="O7" s="48"/>
      <c r="P7" s="48"/>
      <c r="Q7" s="48"/>
      <c r="R7" s="42"/>
      <c r="S7" s="28"/>
      <c r="T7" s="19"/>
    </row>
    <row x14ac:dyDescent="0.25" r="8" customHeight="1" ht="27.75">
      <c r="A8" s="30" t="s">
        <v>27</v>
      </c>
      <c r="B8" s="49"/>
      <c r="C8" s="3"/>
      <c r="D8" s="33"/>
      <c r="E8" s="33"/>
      <c r="F8" s="33"/>
      <c r="G8" s="33"/>
      <c r="H8" s="50" t="s">
        <v>28</v>
      </c>
      <c r="I8" s="51"/>
      <c r="J8" s="52"/>
      <c r="K8" s="52"/>
      <c r="L8" s="52"/>
      <c r="M8" s="52"/>
      <c r="N8" s="52"/>
      <c r="O8" s="52"/>
      <c r="P8" s="52"/>
      <c r="Q8" s="52"/>
      <c r="R8" s="42"/>
      <c r="S8" s="28"/>
      <c r="T8" s="19"/>
    </row>
    <row x14ac:dyDescent="0.25" r="9" customHeight="1" ht="27.75">
      <c r="A9" s="30" t="s">
        <v>29</v>
      </c>
      <c r="B9" s="53">
        <v>1500</v>
      </c>
      <c r="C9" s="3"/>
      <c r="D9" s="33"/>
      <c r="E9" s="33"/>
      <c r="F9" s="33"/>
      <c r="G9" s="33"/>
      <c r="H9" s="46" t="s">
        <v>30</v>
      </c>
      <c r="I9" s="54"/>
      <c r="J9" s="55"/>
      <c r="K9" s="55"/>
      <c r="L9" s="55"/>
      <c r="M9" s="55"/>
      <c r="N9" s="55"/>
      <c r="O9" s="55"/>
      <c r="P9" s="55"/>
      <c r="Q9" s="55"/>
      <c r="R9" s="42"/>
      <c r="S9" s="28"/>
      <c r="T9" s="19"/>
    </row>
    <row x14ac:dyDescent="0.25" r="10" customHeight="1" ht="27.75">
      <c r="A10" s="30" t="s">
        <v>31</v>
      </c>
      <c r="B10" s="53">
        <v>250</v>
      </c>
      <c r="C10" s="3"/>
      <c r="D10" s="33"/>
      <c r="E10" s="33"/>
      <c r="F10" s="33"/>
      <c r="G10" s="33"/>
      <c r="H10" s="46" t="s">
        <v>32</v>
      </c>
      <c r="I10" s="47"/>
      <c r="J10" s="56"/>
      <c r="K10" s="56"/>
      <c r="L10" s="56"/>
      <c r="M10" s="56"/>
      <c r="N10" s="56"/>
      <c r="O10" s="56"/>
      <c r="P10" s="56"/>
      <c r="Q10" s="56"/>
      <c r="R10" s="42"/>
      <c r="S10" s="28"/>
      <c r="T10" s="19"/>
    </row>
    <row x14ac:dyDescent="0.25" r="11" customHeight="1" ht="27.75">
      <c r="A11" s="30" t="s">
        <v>33</v>
      </c>
      <c r="B11" s="49">
        <v>0.2</v>
      </c>
      <c r="C11" s="29"/>
      <c r="D11" s="33"/>
      <c r="E11" s="33"/>
      <c r="F11" s="33"/>
      <c r="G11" s="33"/>
      <c r="H11" s="46" t="s">
        <v>34</v>
      </c>
      <c r="I11" s="4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19"/>
    </row>
    <row x14ac:dyDescent="0.25" r="12" customHeight="1" ht="27.75">
      <c r="A12" s="30" t="s">
        <v>34</v>
      </c>
      <c r="B12" s="60">
        <v>2.03</v>
      </c>
      <c r="C12" s="29"/>
      <c r="D12" s="33"/>
      <c r="E12" s="33"/>
      <c r="F12" s="33"/>
      <c r="G12" s="33"/>
      <c r="H12" s="46" t="s">
        <v>35</v>
      </c>
      <c r="I12" s="47"/>
      <c r="J12" s="48"/>
      <c r="K12" s="48"/>
      <c r="L12" s="48"/>
      <c r="M12" s="48"/>
      <c r="N12" s="48"/>
      <c r="O12" s="48"/>
      <c r="P12" s="48"/>
      <c r="Q12" s="48"/>
      <c r="R12" s="58"/>
      <c r="S12" s="59"/>
      <c r="T12" s="19"/>
    </row>
    <row x14ac:dyDescent="0.25" r="13" customHeight="1" ht="27.75">
      <c r="A13" s="61" t="s">
        <v>35</v>
      </c>
      <c r="B13" s="62">
        <v>90</v>
      </c>
      <c r="C13" s="3"/>
      <c r="D13" s="33"/>
      <c r="E13" s="33"/>
      <c r="F13" s="33"/>
      <c r="G13" s="33"/>
      <c r="H13" s="46" t="s">
        <v>36</v>
      </c>
      <c r="I13" s="63"/>
      <c r="J13" s="48"/>
      <c r="K13" s="48"/>
      <c r="L13" s="48"/>
      <c r="M13" s="48"/>
      <c r="N13" s="48"/>
      <c r="O13" s="48"/>
      <c r="P13" s="48"/>
      <c r="Q13" s="64"/>
      <c r="R13" s="58"/>
      <c r="S13" s="65"/>
      <c r="T13" s="29"/>
    </row>
    <row x14ac:dyDescent="0.25" r="14" customHeight="1" ht="27.75">
      <c r="A14" s="66" t="s">
        <v>37</v>
      </c>
      <c r="B14" s="67"/>
      <c r="C14" s="3"/>
      <c r="D14" s="33"/>
      <c r="E14" s="33"/>
      <c r="F14" s="33"/>
      <c r="G14" s="33"/>
      <c r="H14" s="68" t="s">
        <v>38</v>
      </c>
      <c r="I14" s="69"/>
      <c r="J14" s="70"/>
      <c r="K14" s="70"/>
      <c r="L14" s="70"/>
      <c r="M14" s="70"/>
      <c r="N14" s="70"/>
      <c r="O14" s="70"/>
      <c r="P14" s="70"/>
      <c r="Q14" s="70"/>
      <c r="R14" s="71"/>
      <c r="S14" s="72"/>
      <c r="T14" s="29"/>
    </row>
    <row x14ac:dyDescent="0.25" r="15" customHeight="1" ht="27.75">
      <c r="A15" s="20" t="s">
        <v>39</v>
      </c>
      <c r="B15" s="73">
        <v>453745</v>
      </c>
      <c r="C15" s="3"/>
      <c r="D15" s="33"/>
      <c r="E15" s="33"/>
      <c r="F15" s="33"/>
      <c r="G15" s="33"/>
      <c r="H15" s="4"/>
      <c r="I15" s="74"/>
      <c r="J15" s="75"/>
      <c r="K15" s="75"/>
      <c r="L15" s="75"/>
      <c r="M15" s="75"/>
      <c r="N15" s="75"/>
      <c r="O15" s="75"/>
      <c r="P15" s="75"/>
      <c r="Q15" s="76"/>
      <c r="R15" s="77"/>
      <c r="S15" s="4"/>
      <c r="T15" s="72"/>
    </row>
    <row x14ac:dyDescent="0.25" r="16" customHeight="1" ht="27.75">
      <c r="A16" s="30" t="s">
        <v>40</v>
      </c>
      <c r="B16" s="78"/>
      <c r="C16" s="3"/>
      <c r="D16" s="33"/>
      <c r="E16" s="33"/>
      <c r="F16" s="33"/>
      <c r="G16" s="33"/>
      <c r="H16" s="79" t="s">
        <v>41</v>
      </c>
      <c r="I16" s="80"/>
      <c r="J16" s="81"/>
      <c r="K16" s="81"/>
      <c r="L16" s="81"/>
      <c r="M16" s="81"/>
      <c r="N16" s="81"/>
      <c r="O16" s="81"/>
      <c r="P16" s="81"/>
      <c r="Q16" s="82"/>
      <c r="R16" s="83"/>
      <c r="S16" s="84"/>
      <c r="T16" s="65"/>
    </row>
    <row x14ac:dyDescent="0.25" r="17" customHeight="1" ht="27.75">
      <c r="A17" s="30" t="s">
        <v>42</v>
      </c>
      <c r="B17" s="2"/>
      <c r="C17" s="3"/>
      <c r="D17" s="85"/>
      <c r="E17" s="85"/>
      <c r="F17" s="85"/>
      <c r="G17" s="33"/>
      <c r="H17" s="86" t="s">
        <v>43</v>
      </c>
      <c r="I17" s="87" t="s">
        <v>44</v>
      </c>
      <c r="J17" s="88" t="s">
        <v>45</v>
      </c>
      <c r="K17" s="88">
        <f>J$3</f>
      </c>
      <c r="L17" s="88">
        <f>K$3</f>
      </c>
      <c r="M17" s="88">
        <f>L$3</f>
      </c>
      <c r="N17" s="88">
        <f>M$3</f>
      </c>
      <c r="O17" s="88">
        <f>N$3</f>
      </c>
      <c r="P17" s="88">
        <f>O$3</f>
      </c>
      <c r="Q17" s="89">
        <f>P$3</f>
      </c>
      <c r="R17" s="90">
        <f>Q$3</f>
      </c>
      <c r="S17" s="91" t="s">
        <v>46</v>
      </c>
      <c r="T17" s="72"/>
    </row>
    <row x14ac:dyDescent="0.25" r="18" customHeight="1" ht="27.75">
      <c r="A18" s="30"/>
      <c r="B18" s="92"/>
      <c r="C18" s="3"/>
      <c r="D18" s="93"/>
      <c r="E18" s="94"/>
      <c r="F18" s="95"/>
      <c r="G18" s="93"/>
      <c r="H18" s="96" t="s">
        <v>47</v>
      </c>
      <c r="I18" s="97" t="s">
        <v>48</v>
      </c>
      <c r="J18" s="98" t="s">
        <v>49</v>
      </c>
      <c r="K18" s="98" t="s">
        <v>50</v>
      </c>
      <c r="L18" s="99" t="s">
        <v>50</v>
      </c>
      <c r="M18" s="99" t="s">
        <v>51</v>
      </c>
      <c r="N18" s="100" t="s">
        <v>51</v>
      </c>
      <c r="O18" s="98" t="s">
        <v>50</v>
      </c>
      <c r="P18" s="98" t="s">
        <v>50</v>
      </c>
      <c r="Q18" s="101" t="s">
        <v>52</v>
      </c>
      <c r="R18" s="102"/>
      <c r="S18" s="103"/>
      <c r="T18" s="104"/>
    </row>
    <row x14ac:dyDescent="0.25" r="19" customHeight="1" ht="27.75">
      <c r="A19" s="30"/>
      <c r="B19" s="92"/>
      <c r="C19" s="3"/>
      <c r="D19" s="93"/>
      <c r="E19" s="94"/>
      <c r="F19" s="95"/>
      <c r="G19" s="93"/>
      <c r="H19" s="96" t="s">
        <v>53</v>
      </c>
      <c r="I19" s="97" t="s">
        <v>48</v>
      </c>
      <c r="J19" s="98" t="s">
        <v>49</v>
      </c>
      <c r="K19" s="98" t="s">
        <v>54</v>
      </c>
      <c r="L19" s="99" t="s">
        <v>54</v>
      </c>
      <c r="M19" s="99" t="s">
        <v>50</v>
      </c>
      <c r="N19" s="100" t="s">
        <v>50</v>
      </c>
      <c r="O19" s="98" t="s">
        <v>54</v>
      </c>
      <c r="P19" s="98" t="s">
        <v>54</v>
      </c>
      <c r="Q19" s="101" t="s">
        <v>50</v>
      </c>
      <c r="R19" s="102"/>
      <c r="S19" s="103"/>
      <c r="T19" s="104"/>
    </row>
    <row x14ac:dyDescent="0.25" r="20" customHeight="1" ht="27.75">
      <c r="A20" s="30"/>
      <c r="B20" s="92"/>
      <c r="C20" s="3"/>
      <c r="D20" s="93"/>
      <c r="E20" s="94"/>
      <c r="F20" s="95"/>
      <c r="G20" s="93"/>
      <c r="H20" s="96" t="s">
        <v>55</v>
      </c>
      <c r="I20" s="97" t="s">
        <v>56</v>
      </c>
      <c r="J20" s="98"/>
      <c r="K20" s="98" t="s">
        <v>57</v>
      </c>
      <c r="L20" s="105" t="s">
        <v>57</v>
      </c>
      <c r="M20" s="106" t="s">
        <v>54</v>
      </c>
      <c r="N20" s="106"/>
      <c r="O20" s="106"/>
      <c r="P20" s="98"/>
      <c r="Q20" s="101"/>
      <c r="R20" s="107"/>
      <c r="S20" s="103"/>
      <c r="T20" s="104"/>
    </row>
    <row x14ac:dyDescent="0.25" r="21" customHeight="1" ht="18.75" hidden="1">
      <c r="A21" s="108"/>
      <c r="B21" s="109">
        <f>B15+#REF!</f>
      </c>
      <c r="C21" s="3"/>
      <c r="D21" s="110"/>
      <c r="E21" s="110"/>
      <c r="F21" s="110"/>
      <c r="G21" s="111"/>
      <c r="H21" s="112" t="s">
        <v>58</v>
      </c>
      <c r="I21" s="113" t="s">
        <v>59</v>
      </c>
      <c r="J21" s="98"/>
      <c r="K21" s="98"/>
      <c r="L21" s="98"/>
      <c r="M21" s="98"/>
      <c r="N21" s="98"/>
      <c r="O21" s="98"/>
      <c r="P21" s="98"/>
      <c r="Q21" s="101"/>
      <c r="R21" s="107"/>
      <c r="S21" s="103"/>
      <c r="T21" s="104">
        <f>COUNTIF(#REF!,$P$41)+COUNTIF(#REF!,$Q$41)+COUNTIF(#REF!,$K$41)+COUNTIF(#REF!,$L$41)+COUNTIF(#REF!,$M$41)+COUNTIF(#REF!,$N$41)+COUNTIF(#REF!,$O$41)</f>
      </c>
    </row>
    <row x14ac:dyDescent="0.25" r="22" customHeight="1" ht="18.75" hidden="1">
      <c r="A22" s="114"/>
      <c r="B22" s="115">
        <v>1</v>
      </c>
      <c r="C22" s="3"/>
      <c r="D22" s="110"/>
      <c r="E22" s="110"/>
      <c r="F22" s="110"/>
      <c r="G22" s="111"/>
      <c r="H22" s="112" t="s">
        <v>55</v>
      </c>
      <c r="I22" s="113" t="s">
        <v>56</v>
      </c>
      <c r="J22" s="98"/>
      <c r="K22" s="98" t="s">
        <v>54</v>
      </c>
      <c r="L22" s="106"/>
      <c r="M22" s="106"/>
      <c r="N22" s="106"/>
      <c r="O22" s="106"/>
      <c r="P22" s="106"/>
      <c r="Q22" s="116"/>
      <c r="R22" s="107"/>
      <c r="S22" s="103"/>
      <c r="T22" s="104">
        <f>COUNTIF(#REF!,$P$41)+COUNTIF(#REF!,$Q$41)+COUNTIF(#REF!,$K$41)+COUNTIF(#REF!,$L$41)+COUNTIF(#REF!,$M$41)+COUNTIF(#REF!,$N$41)+COUNTIF(#REF!,$O$41)</f>
      </c>
    </row>
    <row x14ac:dyDescent="0.25" r="23" customHeight="1" ht="27.75">
      <c r="A23" s="114"/>
      <c r="B23" s="117"/>
      <c r="C23" s="3"/>
      <c r="D23" s="110"/>
      <c r="E23" s="110"/>
      <c r="F23" s="110"/>
      <c r="G23" s="111"/>
      <c r="H23" s="112" t="s">
        <v>60</v>
      </c>
      <c r="I23" s="113" t="s">
        <v>56</v>
      </c>
      <c r="J23" s="98"/>
      <c r="K23" s="98" t="s">
        <v>61</v>
      </c>
      <c r="L23" s="105"/>
      <c r="M23" s="105"/>
      <c r="N23" s="105"/>
      <c r="O23" s="105"/>
      <c r="P23" s="98"/>
      <c r="Q23" s="101"/>
      <c r="R23" s="107"/>
      <c r="S23" s="103"/>
      <c r="T23" s="104"/>
    </row>
    <row x14ac:dyDescent="0.25" r="24" customHeight="1" ht="27.75">
      <c r="A24" s="114"/>
      <c r="B24" s="117"/>
      <c r="C24" s="3"/>
      <c r="D24" s="110"/>
      <c r="E24" s="110"/>
      <c r="F24" s="110"/>
      <c r="G24" s="111"/>
      <c r="H24" s="112" t="s">
        <v>62</v>
      </c>
      <c r="I24" s="113" t="s">
        <v>63</v>
      </c>
      <c r="J24" s="98"/>
      <c r="K24" s="98"/>
      <c r="L24" s="106" t="s">
        <v>52</v>
      </c>
      <c r="M24" s="105" t="s">
        <v>52</v>
      </c>
      <c r="N24" s="118"/>
      <c r="O24" s="118"/>
      <c r="P24" s="118"/>
      <c r="Q24" s="101"/>
      <c r="R24" s="107"/>
      <c r="S24" s="103"/>
      <c r="T24" s="104"/>
    </row>
    <row x14ac:dyDescent="0.25" r="25" customHeight="1" ht="27.75">
      <c r="A25" s="119" t="s">
        <v>64</v>
      </c>
      <c r="B25" s="120"/>
      <c r="C25" s="3"/>
      <c r="D25" s="110"/>
      <c r="E25" s="110"/>
      <c r="F25" s="110"/>
      <c r="G25" s="111"/>
      <c r="H25" s="112" t="s">
        <v>65</v>
      </c>
      <c r="I25" s="113" t="s">
        <v>63</v>
      </c>
      <c r="J25" s="98"/>
      <c r="K25" s="98"/>
      <c r="L25" s="106" t="s">
        <v>57</v>
      </c>
      <c r="M25" s="121"/>
      <c r="N25" s="121"/>
      <c r="O25" s="121"/>
      <c r="P25" s="121"/>
      <c r="Q25" s="101"/>
      <c r="R25" s="107"/>
      <c r="S25" s="103"/>
      <c r="T25" s="104"/>
    </row>
    <row x14ac:dyDescent="0.25" r="26" customHeight="1" ht="27.75">
      <c r="A26" s="119" t="s">
        <v>66</v>
      </c>
      <c r="B26" s="120"/>
      <c r="C26" s="3"/>
      <c r="D26" s="110"/>
      <c r="E26" s="110"/>
      <c r="F26" s="110"/>
      <c r="G26" s="111"/>
      <c r="H26" s="112" t="s">
        <v>67</v>
      </c>
      <c r="I26" s="113" t="s">
        <v>68</v>
      </c>
      <c r="J26" s="98"/>
      <c r="K26" s="98"/>
      <c r="L26" s="98"/>
      <c r="M26" s="118" t="s">
        <v>69</v>
      </c>
      <c r="N26" s="106" t="s">
        <v>69</v>
      </c>
      <c r="O26" s="122"/>
      <c r="P26" s="122"/>
      <c r="Q26" s="123"/>
      <c r="R26" s="107"/>
      <c r="S26" s="103"/>
      <c r="T26" s="104"/>
    </row>
    <row x14ac:dyDescent="0.25" r="27" customHeight="1" ht="27.75">
      <c r="A27" s="124" t="s">
        <v>70</v>
      </c>
      <c r="B27" s="120"/>
      <c r="C27" s="3"/>
      <c r="D27" s="110"/>
      <c r="E27" s="110"/>
      <c r="F27" s="110"/>
      <c r="G27" s="111"/>
      <c r="H27" s="112" t="s">
        <v>71</v>
      </c>
      <c r="I27" s="113" t="s">
        <v>68</v>
      </c>
      <c r="J27" s="98"/>
      <c r="K27" s="98"/>
      <c r="L27" s="98"/>
      <c r="M27" s="118" t="s">
        <v>61</v>
      </c>
      <c r="N27" s="105"/>
      <c r="O27" s="105"/>
      <c r="P27" s="105"/>
      <c r="Q27" s="125"/>
      <c r="R27" s="107"/>
      <c r="S27" s="103"/>
      <c r="T27" s="104"/>
    </row>
    <row x14ac:dyDescent="0.25" r="28" customHeight="1" ht="27.75">
      <c r="A28" s="4"/>
      <c r="B28" s="126"/>
      <c r="C28" s="3"/>
      <c r="D28" s="110"/>
      <c r="E28" s="110"/>
      <c r="F28" s="110"/>
      <c r="G28" s="111"/>
      <c r="H28" s="112" t="s">
        <v>72</v>
      </c>
      <c r="I28" s="113" t="s">
        <v>73</v>
      </c>
      <c r="J28" s="98"/>
      <c r="K28" s="98"/>
      <c r="L28" s="98"/>
      <c r="M28" s="121" t="s">
        <v>57</v>
      </c>
      <c r="N28" s="121"/>
      <c r="O28" s="121"/>
      <c r="P28" s="121"/>
      <c r="Q28" s="127"/>
      <c r="R28" s="107"/>
      <c r="S28" s="128" t="s">
        <v>74</v>
      </c>
      <c r="T28" s="104"/>
    </row>
    <row x14ac:dyDescent="0.25" r="29" customHeight="1" ht="27.75">
      <c r="A29" s="129" t="s">
        <v>75</v>
      </c>
      <c r="B29" s="130"/>
      <c r="C29" s="3"/>
      <c r="D29" s="110"/>
      <c r="E29" s="110"/>
      <c r="F29" s="110"/>
      <c r="G29" s="111"/>
      <c r="H29" s="112" t="s">
        <v>76</v>
      </c>
      <c r="I29" s="113" t="s">
        <v>73</v>
      </c>
      <c r="J29" s="98"/>
      <c r="K29" s="98"/>
      <c r="L29" s="98"/>
      <c r="M29" s="121" t="s">
        <v>61</v>
      </c>
      <c r="N29" s="105"/>
      <c r="O29" s="105"/>
      <c r="P29" s="105"/>
      <c r="Q29" s="125"/>
      <c r="R29" s="102"/>
      <c r="S29" s="103"/>
      <c r="T29" s="104"/>
    </row>
    <row x14ac:dyDescent="0.25" r="30" customHeight="1" ht="27.75">
      <c r="A30" s="129"/>
      <c r="B30" s="2"/>
      <c r="C30" s="3"/>
      <c r="D30" s="110"/>
      <c r="E30" s="110"/>
      <c r="F30" s="110"/>
      <c r="G30" s="111"/>
      <c r="H30" s="112" t="s">
        <v>77</v>
      </c>
      <c r="I30" s="113" t="s">
        <v>73</v>
      </c>
      <c r="J30" s="98"/>
      <c r="K30" s="100"/>
      <c r="L30" s="100"/>
      <c r="M30" s="100" t="s">
        <v>54</v>
      </c>
      <c r="N30" s="106"/>
      <c r="O30" s="131"/>
      <c r="P30" s="131"/>
      <c r="Q30" s="116"/>
      <c r="R30" s="102"/>
      <c r="S30" s="103"/>
      <c r="T30" s="104"/>
    </row>
    <row x14ac:dyDescent="0.25" r="31" customHeight="1" ht="27.75">
      <c r="A31" s="132"/>
      <c r="B31" s="133"/>
      <c r="C31" s="3"/>
      <c r="D31" s="110"/>
      <c r="E31" s="110"/>
      <c r="F31" s="110"/>
      <c r="G31" s="111"/>
      <c r="H31" s="112" t="s">
        <v>78</v>
      </c>
      <c r="I31" s="113" t="s">
        <v>73</v>
      </c>
      <c r="J31" s="98"/>
      <c r="K31" s="100"/>
      <c r="L31" s="75"/>
      <c r="M31" s="100" t="s">
        <v>54</v>
      </c>
      <c r="N31" s="106"/>
      <c r="O31" s="131"/>
      <c r="P31" s="131"/>
      <c r="Q31" s="116"/>
      <c r="R31" s="102"/>
      <c r="S31" s="103"/>
      <c r="T31" s="104"/>
    </row>
    <row x14ac:dyDescent="0.25" r="32" customHeight="1" ht="27.75">
      <c r="A32" s="134" t="s">
        <v>79</v>
      </c>
      <c r="B32" s="135"/>
      <c r="C32" s="136"/>
      <c r="D32" s="110"/>
      <c r="E32" s="110"/>
      <c r="F32" s="110"/>
      <c r="G32" s="111"/>
      <c r="H32" s="112" t="s">
        <v>80</v>
      </c>
      <c r="I32" s="113" t="s">
        <v>81</v>
      </c>
      <c r="J32" s="100"/>
      <c r="K32" s="98"/>
      <c r="L32" s="137"/>
      <c r="M32" s="98" t="s">
        <v>49</v>
      </c>
      <c r="N32" s="138"/>
      <c r="O32" s="139"/>
      <c r="P32" s="139"/>
      <c r="Q32" s="140"/>
      <c r="R32" s="107"/>
      <c r="S32" s="103"/>
      <c r="T32" s="141"/>
    </row>
    <row x14ac:dyDescent="0.25" r="33" customHeight="1" ht="27.75">
      <c r="A33" s="142"/>
      <c r="B33" s="143"/>
      <c r="C33" s="136"/>
      <c r="D33" s="110"/>
      <c r="E33" s="110"/>
      <c r="F33" s="110"/>
      <c r="G33" s="111"/>
      <c r="H33" s="34"/>
      <c r="I33" s="144"/>
      <c r="J33" s="100"/>
      <c r="K33" s="98"/>
      <c r="L33" s="137"/>
      <c r="M33" s="98"/>
      <c r="N33" s="98"/>
      <c r="O33" s="145"/>
      <c r="P33" s="145"/>
      <c r="Q33" s="146"/>
      <c r="R33" s="147"/>
      <c r="S33" s="103"/>
      <c r="T33" s="148"/>
    </row>
    <row x14ac:dyDescent="0.25" r="34" customHeight="1" ht="27.75">
      <c r="A34" s="142"/>
      <c r="B34" s="143"/>
      <c r="C34" s="136"/>
      <c r="D34" s="110"/>
      <c r="E34" s="110"/>
      <c r="F34" s="110"/>
      <c r="G34" s="111"/>
      <c r="H34" s="149"/>
      <c r="I34" s="150"/>
      <c r="J34" s="100"/>
      <c r="K34" s="98"/>
      <c r="L34" s="137"/>
      <c r="M34" s="98"/>
      <c r="N34" s="98"/>
      <c r="O34" s="145"/>
      <c r="P34" s="145"/>
      <c r="Q34" s="146"/>
      <c r="R34" s="147"/>
      <c r="S34" s="103"/>
      <c r="T34" s="151"/>
    </row>
    <row x14ac:dyDescent="0.25" r="35" customHeight="1" ht="27.75">
      <c r="A35" s="134" t="s">
        <v>82</v>
      </c>
      <c r="B35" s="135"/>
      <c r="C35" s="136"/>
      <c r="D35" s="110"/>
      <c r="E35" s="110"/>
      <c r="F35" s="110"/>
      <c r="G35" s="111"/>
      <c r="H35" s="152"/>
      <c r="I35" s="153"/>
      <c r="J35" s="100"/>
      <c r="K35" s="100"/>
      <c r="L35" s="145"/>
      <c r="M35" s="100"/>
      <c r="N35" s="100"/>
      <c r="O35" s="145"/>
      <c r="P35" s="145"/>
      <c r="Q35" s="146"/>
      <c r="R35" s="147"/>
      <c r="S35" s="103"/>
      <c r="T35" s="151"/>
    </row>
    <row x14ac:dyDescent="0.25" r="36" customHeight="1" ht="27.75">
      <c r="A36" s="142"/>
      <c r="B36" s="143"/>
      <c r="C36" s="136"/>
      <c r="D36" s="110"/>
      <c r="E36" s="110"/>
      <c r="F36" s="110"/>
      <c r="G36" s="111"/>
      <c r="H36" s="152"/>
      <c r="I36" s="154"/>
      <c r="J36" s="155"/>
      <c r="K36" s="155"/>
      <c r="L36" s="155"/>
      <c r="M36" s="155"/>
      <c r="N36" s="155"/>
      <c r="O36" s="155"/>
      <c r="P36" s="155"/>
      <c r="Q36" s="34"/>
      <c r="R36" s="130"/>
      <c r="S36" s="34"/>
      <c r="T36" s="151"/>
    </row>
    <row x14ac:dyDescent="0.25" r="37" customHeight="1" ht="27.75">
      <c r="A37" s="156"/>
      <c r="B37" s="157"/>
      <c r="C37" s="136"/>
      <c r="D37" s="110"/>
      <c r="E37" s="110"/>
      <c r="F37" s="110"/>
      <c r="G37" s="111"/>
      <c r="H37" s="152"/>
      <c r="I37" s="154"/>
      <c r="J37" s="158"/>
      <c r="K37" s="158"/>
      <c r="L37" s="159"/>
      <c r="M37" s="158"/>
      <c r="N37" s="158"/>
      <c r="O37" s="159"/>
      <c r="P37" s="159"/>
      <c r="Q37" s="160"/>
      <c r="R37" s="161"/>
      <c r="S37" s="162"/>
      <c r="T37" s="151"/>
    </row>
    <row x14ac:dyDescent="0.25" r="38" customHeight="1" ht="26.25">
      <c r="A38" s="163"/>
      <c r="B38" s="164"/>
      <c r="C38" s="136"/>
      <c r="D38" s="165"/>
      <c r="E38" s="165"/>
      <c r="F38" s="165"/>
      <c r="G38" s="165"/>
      <c r="H38" s="4"/>
      <c r="I38" s="154"/>
      <c r="J38" s="166"/>
      <c r="K38" s="166"/>
      <c r="L38" s="167"/>
      <c r="M38" s="166"/>
      <c r="N38" s="166"/>
      <c r="O38" s="167"/>
      <c r="P38" s="167"/>
      <c r="Q38" s="33"/>
      <c r="R38" s="168"/>
      <c r="S38" s="169"/>
      <c r="T38" s="151"/>
    </row>
    <row x14ac:dyDescent="0.25" r="39" customHeight="1" ht="26.25">
      <c r="A39" s="163"/>
      <c r="B39" s="164"/>
      <c r="C39" s="136"/>
      <c r="D39" s="165"/>
      <c r="E39" s="165"/>
      <c r="F39" s="165"/>
      <c r="G39" s="165"/>
      <c r="H39" s="4"/>
      <c r="I39" s="152" t="s">
        <v>83</v>
      </c>
      <c r="J39" s="166"/>
      <c r="K39" s="166"/>
      <c r="L39" s="167"/>
      <c r="M39" s="166"/>
      <c r="N39" s="166"/>
      <c r="O39" s="167"/>
      <c r="P39" s="167"/>
      <c r="Q39" s="33"/>
      <c r="R39" s="168"/>
      <c r="S39" s="169"/>
      <c r="T39" s="151"/>
    </row>
    <row x14ac:dyDescent="0.25" r="40" customHeight="1" ht="26.25">
      <c r="A40" s="163"/>
      <c r="B40" s="164"/>
      <c r="C40" s="136"/>
      <c r="D40" s="165"/>
      <c r="E40" s="165"/>
      <c r="F40" s="165"/>
      <c r="G40" s="165"/>
      <c r="H40" s="4"/>
      <c r="I40" s="74"/>
      <c r="J40" s="166"/>
      <c r="K40" s="166"/>
      <c r="L40" s="167"/>
      <c r="M40" s="166"/>
      <c r="N40" s="166"/>
      <c r="O40" s="167"/>
      <c r="P40" s="167"/>
      <c r="Q40" s="33"/>
      <c r="R40" s="168"/>
      <c r="S40" s="169"/>
      <c r="T40" s="151"/>
    </row>
    <row x14ac:dyDescent="0.25" r="41" customHeight="1" ht="18.75" hidden="1">
      <c r="A41" s="4"/>
      <c r="B41" s="2"/>
      <c r="C41" s="136"/>
      <c r="D41" s="4"/>
      <c r="E41" s="4"/>
      <c r="F41" s="4"/>
      <c r="G41" s="4"/>
      <c r="H41" s="4"/>
      <c r="I41" s="74"/>
      <c r="J41" s="170" t="s">
        <v>50</v>
      </c>
      <c r="K41" s="171" t="s">
        <v>61</v>
      </c>
      <c r="L41" s="171" t="s">
        <v>54</v>
      </c>
      <c r="M41" s="171" t="s">
        <v>51</v>
      </c>
      <c r="N41" s="171" t="s">
        <v>84</v>
      </c>
      <c r="O41" s="172" t="s">
        <v>52</v>
      </c>
      <c r="P41" s="172" t="s">
        <v>57</v>
      </c>
      <c r="Q41" s="173" t="s">
        <v>69</v>
      </c>
      <c r="R41" s="174" t="s">
        <v>49</v>
      </c>
      <c r="S41" s="4"/>
      <c r="T41" s="175">
        <f>COUNTIF(#REF!,$P$41)+COUNTIF(#REF!,$Q$41)+COUNTIF(#REF!,$K$41)+COUNTIF(#REF!,$L$41)+COUNTIF(#REF!,$M$41)+COUNTIF(#REF!,$N$41)+COUNTIF(#REF!,$O$41)</f>
      </c>
    </row>
  </sheetData>
  <mergeCells count="29">
    <mergeCell ref="H1:S1"/>
    <mergeCell ref="A2:B2"/>
    <mergeCell ref="H2:S2"/>
    <mergeCell ref="D3:D17"/>
    <mergeCell ref="H3:I3"/>
    <mergeCell ref="H4:I4"/>
    <mergeCell ref="E5:E17"/>
    <mergeCell ref="H5:I5"/>
    <mergeCell ref="H6:I6"/>
    <mergeCell ref="F7:F17"/>
    <mergeCell ref="G7:G17"/>
    <mergeCell ref="H7:I7"/>
    <mergeCell ref="H8:I8"/>
    <mergeCell ref="H9:I9"/>
    <mergeCell ref="H10:I10"/>
    <mergeCell ref="H11:I11"/>
    <mergeCell ref="H12:I12"/>
    <mergeCell ref="H13:I13"/>
    <mergeCell ref="A14:B14"/>
    <mergeCell ref="H14:I14"/>
    <mergeCell ref="H16:S16"/>
    <mergeCell ref="A25:B25"/>
    <mergeCell ref="A26:B26"/>
    <mergeCell ref="A32:B32"/>
    <mergeCell ref="A33:B33"/>
    <mergeCell ref="A34:B34"/>
    <mergeCell ref="A35:B35"/>
    <mergeCell ref="A36:B36"/>
    <mergeCell ref="A37:B3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Management - Checklist</vt:lpstr>
      <vt:lpstr>Stylist - Checklist</vt:lpstr>
      <vt:lpstr>EOD Closing Email Template</vt:lpstr>
      <vt:lpstr>Monday</vt:lpstr>
      <vt:lpstr>Tuesday</vt:lpstr>
      <vt:lpstr>Test</vt:lpstr>
      <vt:lpstr>Wednesday</vt:lpstr>
      <vt:lpstr>Thursday</vt:lpstr>
      <vt:lpstr>Friday</vt:lpstr>
      <vt:lpstr>Saturday</vt:lpstr>
      <vt:lpstr>Sunday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2025-05-27T08:47:07.808Z</dcterms:created>
  <dcterms:modified xsi:type="dcterms:W3CDTF">2025-05-27T08:47:07.808Z</dcterms:modified>
</cp:coreProperties>
</file>